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W:\CE\ER MONTHEND-------------\MONTH END ER--- ANGLO\2026\06. Jun\ETO\"/>
    </mc:Choice>
  </mc:AlternateContent>
  <xr:revisionPtr revIDLastSave="0" documentId="13_ncr:1_{CB3D1A57-DC99-4F90-A141-3258073642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C(A) 33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" i="5" l="1"/>
  <c r="D22" i="5" s="1"/>
  <c r="E19" i="5" s="1"/>
  <c r="E20" i="5"/>
  <c r="F20" i="5"/>
  <c r="G20" i="5"/>
  <c r="H20" i="5"/>
  <c r="I20" i="5"/>
  <c r="J20" i="5"/>
  <c r="K20" i="5"/>
  <c r="L20" i="5"/>
  <c r="M20" i="5"/>
  <c r="N20" i="5"/>
  <c r="O20" i="5"/>
  <c r="E22" i="5" l="1"/>
  <c r="F19" i="5" s="1"/>
  <c r="F22" i="5" s="1"/>
  <c r="G19" i="5" s="1"/>
  <c r="G22" i="5" s="1"/>
  <c r="H19" i="5" s="1"/>
  <c r="H22" i="5" s="1"/>
  <c r="I19" i="5" s="1"/>
  <c r="I22" i="5" s="1"/>
  <c r="J19" i="5" s="1"/>
  <c r="J22" i="5" s="1"/>
  <c r="K19" i="5" s="1"/>
  <c r="K22" i="5" s="1"/>
  <c r="L19" i="5" s="1"/>
  <c r="L22" i="5" s="1"/>
  <c r="M19" i="5" s="1"/>
  <c r="M22" i="5" s="1"/>
  <c r="N19" i="5" s="1"/>
  <c r="N22" i="5" s="1"/>
  <c r="O19" i="5" s="1"/>
  <c r="O22" i="5" s="1"/>
</calcChain>
</file>

<file path=xl/sharedStrings.xml><?xml version="1.0" encoding="utf-8"?>
<sst xmlns="http://schemas.openxmlformats.org/spreadsheetml/2006/main" count="43" uniqueCount="43">
  <si>
    <t>No</t>
  </si>
  <si>
    <t>Received</t>
  </si>
  <si>
    <t>Consumed</t>
  </si>
  <si>
    <t>System</t>
  </si>
  <si>
    <t>Note: All system to be included</t>
  </si>
  <si>
    <t>Capacity</t>
  </si>
  <si>
    <t>Accomodation air conditioning system</t>
  </si>
  <si>
    <t>Provision fridge system</t>
  </si>
  <si>
    <t>Engine control room A/C system</t>
  </si>
  <si>
    <t>Cargo switch board A/C system</t>
  </si>
  <si>
    <t>Inert Gas Chilling Plant</t>
  </si>
  <si>
    <t>Work Shop AC System</t>
  </si>
  <si>
    <t>Freon Consumption record</t>
  </si>
  <si>
    <t>Total Consumed</t>
  </si>
  <si>
    <t>Remarls</t>
  </si>
  <si>
    <t>ROB Last 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</si>
  <si>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</si>
  <si>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</si>
  <si>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</si>
  <si>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</si>
  <si>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</si>
  <si>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</si>
  <si>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</si>
  <si>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</si>
  <si>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</si>
  <si>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</si>
  <si>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</si>
  <si>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</si>
  <si>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Checked by:</t>
  </si>
  <si>
    <t>File Ref: TEC(A) 33</t>
  </si>
  <si>
    <t>ROB end of this month</t>
  </si>
  <si>
    <t xml:space="preserve">Vessel Name:  </t>
  </si>
  <si>
    <t>Report Date</t>
  </si>
  <si>
    <t>Year</t>
  </si>
  <si>
    <t>C:\Marine Software\Orpms2012\ExcelLog\</t>
  </si>
  <si>
    <t>\\SPRVSLACR008\Marine Software\OrPms Database\ORPMS.accdb</t>
  </si>
  <si>
    <t>ANGLO EASTERN SHIP MANAGEMENT</t>
  </si>
  <si>
    <t>Control Air Drier</t>
  </si>
  <si>
    <t>SEAWAYS MIRAGE</t>
  </si>
  <si>
    <t>Bridge AC</t>
  </si>
  <si>
    <t>R410 A - 10 Kg x 2</t>
  </si>
  <si>
    <t>for Bridge AC</t>
  </si>
  <si>
    <t xml:space="preserve">           ETO/2E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</si>
</sst>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10"/>
      <name val="Arial Narrow"/>
      <family val="2"/>
    </font>
    <font>
      <b/>
      <sz val="10"/>
      <name val="Arial"/>
      <family val="2"/>
    </font>
    <font>
      <i/>
      <u/>
      <sz val="10"/>
      <color indexed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b/>
      <sz val="10"/>
      <name val="Arial Narrow"/>
      <family val="2"/>
    </font>
    <font>
      <b/>
      <sz val="12"/>
      <name val="Arial"/>
      <family val="2"/>
    </font>
    <font>
      <sz val="10"/>
      <color indexed="9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1" xfId="0" applyFill="1" applyBorder="1"/>
    <xf numFmtId="17" fontId="2" fillId="0" borderId="0" xfId="0" applyNumberFormat="1" applyFont="1"/>
    <xf numFmtId="0" fontId="1" fillId="0" borderId="0" xfId="0" applyFont="1" applyAlignment="1">
      <alignment horizontal="right"/>
    </xf>
    <xf numFmtId="0" fontId="4" fillId="0" borderId="0" xfId="0" applyFont="1"/>
    <xf numFmtId="17" fontId="6" fillId="2" borderId="1" xfId="0" applyNumberFormat="1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0" borderId="0" xfId="0" applyFont="1"/>
    <xf numFmtId="0" fontId="0" fillId="2" borderId="2" xfId="0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0" xfId="0" applyProtection="1">
      <protection locked="0"/>
    </xf>
    <xf numFmtId="0" fontId="1" fillId="4" borderId="2" xfId="0" applyFont="1" applyFill="1" applyBorder="1" applyProtection="1">
      <protection locked="0"/>
    </xf>
    <xf numFmtId="0" fontId="0" fillId="4" borderId="4" xfId="0" applyFill="1" applyBorder="1" applyAlignment="1" applyProtection="1">
      <alignment horizontal="center"/>
      <protection locked="0"/>
    </xf>
    <xf numFmtId="0" fontId="0" fillId="4" borderId="2" xfId="0" applyFill="1" applyBorder="1" applyAlignment="1" applyProtection="1">
      <alignment horizontal="center"/>
      <protection locked="0"/>
    </xf>
    <xf numFmtId="0" fontId="0" fillId="4" borderId="2" xfId="0" applyFill="1" applyBorder="1" applyProtection="1">
      <protection locked="0"/>
    </xf>
    <xf numFmtId="0" fontId="0" fillId="4" borderId="3" xfId="0" applyFill="1" applyBorder="1" applyProtection="1">
      <protection locked="0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0" fillId="4" borderId="1" xfId="0" applyFill="1" applyBorder="1" applyProtection="1">
      <protection locked="0"/>
    </xf>
    <xf numFmtId="0" fontId="8" fillId="0" borderId="0" xfId="0" applyFont="1"/>
    <xf numFmtId="14" fontId="9" fillId="4" borderId="1" xfId="0" applyNumberFormat="1" applyFont="1" applyFill="1" applyBorder="1" applyProtection="1">
      <protection locked="0"/>
    </xf>
    <xf numFmtId="0" fontId="5" fillId="2" borderId="1" xfId="0" applyFont="1" applyFill="1" applyBorder="1" applyAlignment="1">
      <alignment horizontal="center" vertical="center"/>
    </xf>
    <xf numFmtId="0" fontId="2" fillId="4" borderId="7" xfId="0" applyFont="1" applyFill="1" applyBorder="1" applyAlignment="1" applyProtection="1">
      <alignment horizontal="center"/>
      <protection locked="0"/>
    </xf>
    <xf numFmtId="0" fontId="2" fillId="4" borderId="8" xfId="0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right"/>
    </xf>
    <xf numFmtId="0" fontId="2" fillId="2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i val="0"/>
        <condense val="0"/>
        <extend val="0"/>
        <color indexed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27"/>
  <sheetViews>
    <sheetView tabSelected="1" workbookViewId="0">
      <selection activeCell="S15" sqref="S15"/>
    </sheetView>
  </sheetViews>
  <sheetFormatPr defaultRowHeight="12.75" x14ac:dyDescent="0.2"/>
  <cols>
    <col min="1" max="1" width="13.140625" customWidth="1"/>
    <col min="2" max="2" width="27" customWidth="1"/>
    <col min="3" max="3" width="8.85546875" customWidth="1"/>
    <col min="4" max="4" width="8.140625" customWidth="1"/>
    <col min="5" max="15" width="6.7109375" customWidth="1"/>
    <col min="16" max="16" width="17.85546875" customWidth="1"/>
  </cols>
  <sheetData>
    <row r="1" spans="1:27" ht="21.75" customHeight="1" x14ac:dyDescent="0.25">
      <c r="A1" s="10" t="s">
        <v>36</v>
      </c>
      <c r="P1" s="5" t="s">
        <v>29</v>
      </c>
      <c r="W1" s="26">
        <v>2021</v>
      </c>
      <c r="Y1" s="26" t="s">
        <v>34</v>
      </c>
      <c r="AA1" s="26" t="s">
        <v>35</v>
      </c>
    </row>
    <row r="2" spans="1:27" ht="17.25" customHeight="1" x14ac:dyDescent="0.2">
      <c r="A2" s="6" t="s">
        <v>12</v>
      </c>
      <c r="C2" s="1"/>
    </row>
    <row r="4" spans="1:27" ht="17.25" customHeight="1" x14ac:dyDescent="0.2">
      <c r="A4" s="1" t="s">
        <v>31</v>
      </c>
      <c r="B4" s="29" t="s">
        <v>38</v>
      </c>
      <c r="C4" s="30"/>
      <c r="N4" s="31" t="s">
        <v>28</v>
      </c>
      <c r="O4" s="31"/>
      <c r="P4" s="25" t="s">
        <v>42</v>
      </c>
    </row>
    <row r="5" spans="1:27" ht="19.5" customHeight="1" x14ac:dyDescent="0.2">
      <c r="K5" s="4"/>
      <c r="O5" s="24" t="s">
        <v>32</v>
      </c>
      <c r="P5" s="27">
        <v>46203</v>
      </c>
    </row>
    <row r="6" spans="1:27" ht="19.5" customHeight="1" x14ac:dyDescent="0.2">
      <c r="A6" s="2" t="s">
        <v>4</v>
      </c>
      <c r="O6" s="24" t="s">
        <v>33</v>
      </c>
      <c r="P6" s="25">
        <v>2026</v>
      </c>
    </row>
    <row r="7" spans="1:27" x14ac:dyDescent="0.2">
      <c r="A7" s="2"/>
    </row>
    <row r="8" spans="1:27" ht="16.5" customHeight="1" x14ac:dyDescent="0.2">
      <c r="A8" s="28" t="s">
        <v>0</v>
      </c>
      <c r="B8" s="28" t="s">
        <v>3</v>
      </c>
      <c r="C8" s="28" t="s">
        <v>5</v>
      </c>
      <c r="D8" s="32" t="s">
        <v>2</v>
      </c>
      <c r="E8" s="33"/>
      <c r="F8" s="33"/>
      <c r="G8" s="33"/>
      <c r="H8" s="33"/>
      <c r="I8" s="33"/>
      <c r="J8" s="33"/>
      <c r="K8" s="33"/>
      <c r="L8" s="33"/>
      <c r="M8" s="33"/>
      <c r="N8" s="33"/>
      <c r="O8" s="34"/>
      <c r="P8" s="35" t="s">
        <v>14</v>
      </c>
    </row>
    <row r="9" spans="1:27" ht="19.5" customHeight="1" x14ac:dyDescent="0.2">
      <c r="A9" s="28"/>
      <c r="B9" s="28"/>
      <c r="C9" s="28"/>
      <c r="D9" s="7" t="s">
        <v>16</v>
      </c>
      <c r="E9" s="7" t="s">
        <v>17</v>
      </c>
      <c r="F9" s="7" t="s">
        <v>18</v>
      </c>
      <c r="G9" s="7" t="s">
        <v>19</v>
      </c>
      <c r="H9" s="7" t="s">
        <v>20</v>
      </c>
      <c r="I9" s="7" t="s">
        <v>21</v>
      </c>
      <c r="J9" s="7" t="s">
        <v>22</v>
      </c>
      <c r="K9" s="7" t="s">
        <v>23</v>
      </c>
      <c r="L9" s="7" t="s">
        <v>24</v>
      </c>
      <c r="M9" s="7" t="s">
        <v>25</v>
      </c>
      <c r="N9" s="7" t="s">
        <v>26</v>
      </c>
      <c r="O9" s="7" t="s">
        <v>27</v>
      </c>
      <c r="P9" s="36"/>
    </row>
    <row r="10" spans="1:27" x14ac:dyDescent="0.2">
      <c r="A10" s="21">
        <v>1</v>
      </c>
      <c r="B10" s="14" t="s">
        <v>6</v>
      </c>
      <c r="C10" s="17">
        <v>259</v>
      </c>
      <c r="D10" s="17">
        <v>0</v>
      </c>
      <c r="E10" s="17">
        <v>0</v>
      </c>
      <c r="F10" s="17">
        <v>15</v>
      </c>
      <c r="G10" s="17">
        <v>11</v>
      </c>
      <c r="H10" s="17">
        <v>7</v>
      </c>
      <c r="I10" s="17">
        <v>7</v>
      </c>
      <c r="J10" s="17"/>
      <c r="K10" s="17"/>
      <c r="L10" s="17"/>
      <c r="M10" s="17"/>
      <c r="N10" s="17"/>
      <c r="O10" s="17"/>
      <c r="P10" s="19"/>
    </row>
    <row r="11" spans="1:27" x14ac:dyDescent="0.2">
      <c r="A11" s="22">
        <v>2</v>
      </c>
      <c r="B11" s="12" t="s">
        <v>7</v>
      </c>
      <c r="C11" s="18">
        <v>32</v>
      </c>
      <c r="D11" s="18">
        <v>0</v>
      </c>
      <c r="E11" s="18">
        <v>0</v>
      </c>
      <c r="F11" s="18">
        <v>0</v>
      </c>
      <c r="G11" s="18">
        <v>4</v>
      </c>
      <c r="H11" s="18">
        <v>3</v>
      </c>
      <c r="I11" s="18">
        <v>2</v>
      </c>
      <c r="J11" s="18"/>
      <c r="K11" s="18"/>
      <c r="L11" s="18"/>
      <c r="M11" s="18"/>
      <c r="N11" s="18"/>
      <c r="O11" s="18"/>
      <c r="P11" s="19"/>
    </row>
    <row r="12" spans="1:27" x14ac:dyDescent="0.2">
      <c r="A12" s="22">
        <v>3</v>
      </c>
      <c r="B12" s="12" t="s">
        <v>8</v>
      </c>
      <c r="C12" s="18">
        <v>8</v>
      </c>
      <c r="D12" s="18">
        <v>0</v>
      </c>
      <c r="E12" s="18">
        <v>0</v>
      </c>
      <c r="F12" s="18">
        <v>5</v>
      </c>
      <c r="G12" s="18">
        <v>2</v>
      </c>
      <c r="H12" s="18">
        <v>3</v>
      </c>
      <c r="I12" s="18">
        <v>2</v>
      </c>
      <c r="J12" s="18"/>
      <c r="K12" s="18"/>
      <c r="L12" s="18"/>
      <c r="M12" s="18"/>
      <c r="N12" s="18"/>
      <c r="O12" s="18"/>
      <c r="P12" s="19"/>
    </row>
    <row r="13" spans="1:27" x14ac:dyDescent="0.2">
      <c r="A13" s="22">
        <v>4</v>
      </c>
      <c r="B13" s="12" t="s">
        <v>9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9"/>
    </row>
    <row r="14" spans="1:27" x14ac:dyDescent="0.2">
      <c r="A14" s="22">
        <v>5</v>
      </c>
      <c r="B14" s="12" t="s">
        <v>10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9"/>
    </row>
    <row r="15" spans="1:27" x14ac:dyDescent="0.2">
      <c r="A15" s="22">
        <v>6</v>
      </c>
      <c r="B15" s="12" t="s">
        <v>11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9"/>
    </row>
    <row r="16" spans="1:27" x14ac:dyDescent="0.2">
      <c r="A16" s="22">
        <v>7</v>
      </c>
      <c r="B16" s="12" t="s">
        <v>37</v>
      </c>
      <c r="C16" s="18">
        <v>1.5</v>
      </c>
      <c r="D16" s="18">
        <v>0</v>
      </c>
      <c r="E16" s="18">
        <v>0</v>
      </c>
      <c r="F16" s="18">
        <v>0</v>
      </c>
      <c r="G16" s="18">
        <v>2</v>
      </c>
      <c r="H16" s="18">
        <v>1</v>
      </c>
      <c r="I16" s="18"/>
      <c r="J16" s="18"/>
      <c r="K16" s="18"/>
      <c r="L16" s="18"/>
      <c r="M16" s="18"/>
      <c r="N16" s="18"/>
      <c r="O16" s="18"/>
      <c r="P16" s="19"/>
    </row>
    <row r="17" spans="1:16" x14ac:dyDescent="0.2">
      <c r="A17" s="22">
        <v>8</v>
      </c>
      <c r="B17" s="16" t="s">
        <v>39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9" t="s">
        <v>40</v>
      </c>
    </row>
    <row r="18" spans="1:16" x14ac:dyDescent="0.2">
      <c r="A18" s="22">
        <v>9</v>
      </c>
      <c r="B18" s="16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9" t="s">
        <v>41</v>
      </c>
    </row>
    <row r="19" spans="1:16" x14ac:dyDescent="0.2">
      <c r="A19" s="22"/>
      <c r="B19" s="12" t="s">
        <v>15</v>
      </c>
      <c r="C19" s="18">
        <v>60</v>
      </c>
      <c r="D19" s="18">
        <v>60</v>
      </c>
      <c r="E19" s="8">
        <f>D22</f>
        <v>60</v>
      </c>
      <c r="F19" s="8">
        <f t="shared" ref="F19:O19" si="0">E22</f>
        <v>60</v>
      </c>
      <c r="G19" s="8">
        <f t="shared" si="0"/>
        <v>100</v>
      </c>
      <c r="H19" s="8">
        <f t="shared" si="0"/>
        <v>81</v>
      </c>
      <c r="I19" s="8">
        <f t="shared" si="0"/>
        <v>67</v>
      </c>
      <c r="J19" s="8">
        <f t="shared" si="0"/>
        <v>56</v>
      </c>
      <c r="K19" s="8">
        <f t="shared" si="0"/>
        <v>56</v>
      </c>
      <c r="L19" s="8">
        <f t="shared" si="0"/>
        <v>56</v>
      </c>
      <c r="M19" s="8">
        <f t="shared" si="0"/>
        <v>56</v>
      </c>
      <c r="N19" s="8">
        <f t="shared" si="0"/>
        <v>56</v>
      </c>
      <c r="O19" s="8">
        <f t="shared" si="0"/>
        <v>56</v>
      </c>
      <c r="P19" s="11"/>
    </row>
    <row r="20" spans="1:16" x14ac:dyDescent="0.2">
      <c r="A20" s="22"/>
      <c r="B20" s="12" t="s">
        <v>13</v>
      </c>
      <c r="C20" s="19"/>
      <c r="D20" s="9">
        <f t="shared" ref="D20:O20" si="1">SUM(D10:D18)</f>
        <v>0</v>
      </c>
      <c r="E20" s="9">
        <f t="shared" si="1"/>
        <v>0</v>
      </c>
      <c r="F20" s="9">
        <f t="shared" si="1"/>
        <v>20</v>
      </c>
      <c r="G20" s="9">
        <f t="shared" si="1"/>
        <v>19</v>
      </c>
      <c r="H20" s="9">
        <f t="shared" si="1"/>
        <v>14</v>
      </c>
      <c r="I20" s="9">
        <f t="shared" si="1"/>
        <v>11</v>
      </c>
      <c r="J20" s="9">
        <f t="shared" si="1"/>
        <v>0</v>
      </c>
      <c r="K20" s="9">
        <f t="shared" si="1"/>
        <v>0</v>
      </c>
      <c r="L20" s="9">
        <f t="shared" si="1"/>
        <v>0</v>
      </c>
      <c r="M20" s="9">
        <f t="shared" si="1"/>
        <v>0</v>
      </c>
      <c r="N20" s="9">
        <f t="shared" si="1"/>
        <v>0</v>
      </c>
      <c r="O20" s="9">
        <f t="shared" si="1"/>
        <v>0</v>
      </c>
      <c r="P20" s="11"/>
    </row>
    <row r="21" spans="1:16" x14ac:dyDescent="0.2">
      <c r="A21" s="23"/>
      <c r="B21" s="13" t="s">
        <v>1</v>
      </c>
      <c r="C21" s="20"/>
      <c r="D21" s="20">
        <v>0</v>
      </c>
      <c r="E21" s="20"/>
      <c r="F21" s="20">
        <v>60</v>
      </c>
      <c r="G21" s="20"/>
      <c r="H21" s="20"/>
      <c r="I21" s="20"/>
      <c r="J21" s="20"/>
      <c r="K21" s="20"/>
      <c r="L21" s="20"/>
      <c r="M21" s="20"/>
      <c r="N21" s="20"/>
      <c r="O21" s="20"/>
      <c r="P21" s="20"/>
    </row>
    <row r="22" spans="1:16" x14ac:dyDescent="0.2">
      <c r="A22" s="3"/>
      <c r="B22" s="3" t="s">
        <v>30</v>
      </c>
      <c r="C22" s="3"/>
      <c r="D22" s="3">
        <f>SUM((D19+D21)-D20)</f>
        <v>60</v>
      </c>
      <c r="E22" s="3">
        <f t="shared" ref="E22:O22" si="2">SUM((E19+E21)-E20)</f>
        <v>60</v>
      </c>
      <c r="F22" s="3">
        <f t="shared" si="2"/>
        <v>100</v>
      </c>
      <c r="G22" s="3">
        <f t="shared" si="2"/>
        <v>81</v>
      </c>
      <c r="H22" s="3">
        <f t="shared" si="2"/>
        <v>67</v>
      </c>
      <c r="I22" s="3">
        <f t="shared" si="2"/>
        <v>56</v>
      </c>
      <c r="J22" s="3">
        <f t="shared" si="2"/>
        <v>56</v>
      </c>
      <c r="K22" s="3">
        <f t="shared" si="2"/>
        <v>56</v>
      </c>
      <c r="L22" s="3">
        <f t="shared" si="2"/>
        <v>56</v>
      </c>
      <c r="M22" s="3">
        <f t="shared" si="2"/>
        <v>56</v>
      </c>
      <c r="N22" s="3">
        <f t="shared" si="2"/>
        <v>56</v>
      </c>
      <c r="O22" s="3">
        <f t="shared" si="2"/>
        <v>56</v>
      </c>
      <c r="P22" s="3"/>
    </row>
    <row r="27" spans="1:16" x14ac:dyDescent="0.2">
      <c r="G27" s="15"/>
    </row>
  </sheetData>
  <sheetProtection password="CBC7" sheet="1" objects="1" scenarios="1"/>
  <mergeCells count="7">
    <mergeCell ref="A8:A9"/>
    <mergeCell ref="B4:C4"/>
    <mergeCell ref="N4:O4"/>
    <mergeCell ref="D8:O8"/>
    <mergeCell ref="P8:P9"/>
    <mergeCell ref="C8:C9"/>
    <mergeCell ref="B8:B9"/>
  </mergeCells>
  <phoneticPr fontId="0" type="noConversion"/>
  <conditionalFormatting sqref="D20:O20">
    <cfRule type="cellIs" dxfId="0" priority="1" stopIfTrue="1" operator="greaterThan">
      <formula>0</formula>
    </cfRule>
  </conditionalFormatting>
  <dataValidations count="3">
    <dataValidation type="textLength" operator="lessThanOrEqual" allowBlank="1" showInputMessage="1" showErrorMessage="1" sqref="P4 C10:C18 C19:C21" xr:uid="{00000000-0002-0000-0000-000000000000}">
      <formula1>50</formula1>
    </dataValidation>
    <dataValidation type="textLength" operator="lessThanOrEqual" allowBlank="1" showInputMessage="1" showErrorMessage="1" sqref="P10:P18 P21" xr:uid="{00000000-0002-0000-0000-000001000000}">
      <formula1>100</formula1>
    </dataValidation>
    <dataValidation type="decimal" allowBlank="1" showInputMessage="1" showErrorMessage="1" sqref="D10:O18 D19 D21:O21" xr:uid="{00000000-0002-0000-0000-000002000000}">
      <formula1>-99999.99</formula1>
      <formula2>99999.99</formula2>
    </dataValidation>
  </dataValidations>
  <pageMargins left="0.25" right="0.25" top="0.25" bottom="0.25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TEC(A) 33</vt:lpstr>
    </vt:vector>
  </TitlesOfParts>
  <Company>Anglo-Eastern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ecr1</cp:lastModifiedBy>
  <cp:lastPrinted>2009-01-08T05:43:12Z</cp:lastPrinted>
  <dcterms:created xsi:type="dcterms:W3CDTF">2006-12-27T02:00:17Z</dcterms:created>
  <dcterms:modified xsi:type="dcterms:W3CDTF">2026-06-26T14:56:08Z</dcterms:modified>
</cp:coreProperties>
</file>