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xml"/>
  <Override PartName="/xl/slicers/slicer1.xml" ContentType="application/vnd.ms-excel.slicer+xml"/>
  <Override PartName="/xl/charts/chart14.xml" ContentType="application/vnd.openxmlformats-officedocument.drawingml.chart+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13_ncr:1_{C8267155-1B7D-4BDB-9F4F-A451C2F1A1D7}" xr6:coauthVersionLast="47" xr6:coauthVersionMax="47" xr10:uidLastSave="{00000000-0000-0000-0000-000000000000}"/>
  <bookViews>
    <workbookView xWindow="-120" yWindow="-120" windowWidth="29040" windowHeight="15720" activeTab="2" xr2:uid="{00000000-000D-0000-FFFF-FFFF00000000}"/>
  </bookViews>
  <sheets>
    <sheet name="Temperature" sheetId="6" r:id="rId1"/>
    <sheet name="Sheet1" sheetId="7" state="hidden" r:id="rId2"/>
    <sheet name="Vibration" sheetId="4" r:id="rId3"/>
  </sheets>
  <definedNames>
    <definedName name="Slicer_Motor">#N/A</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33" i="6" l="1"/>
  <c r="AM32" i="6"/>
  <c r="AM31" i="6"/>
  <c r="AM30" i="6"/>
  <c r="AM29" i="6"/>
  <c r="AM28" i="6"/>
  <c r="AM27" i="6"/>
  <c r="AM26" i="6"/>
  <c r="AM25" i="6"/>
  <c r="AM24" i="6"/>
  <c r="AM23" i="6"/>
  <c r="AM22" i="6"/>
  <c r="AM21" i="6"/>
  <c r="AM20" i="6"/>
  <c r="AM19" i="6"/>
  <c r="AM18" i="6"/>
  <c r="AM17" i="6"/>
  <c r="AM16" i="6"/>
  <c r="AM15" i="6"/>
  <c r="AM14" i="6"/>
  <c r="AM13" i="6"/>
  <c r="AM12" i="6"/>
  <c r="AM11" i="6"/>
  <c r="AM10" i="6"/>
  <c r="AM9" i="6"/>
  <c r="AM8" i="6"/>
  <c r="AM7" i="6"/>
  <c r="AJ33" i="6"/>
  <c r="AJ32" i="6"/>
  <c r="AJ31" i="6"/>
  <c r="AJ30" i="6"/>
  <c r="AJ29" i="6"/>
  <c r="AJ28" i="6"/>
  <c r="AJ27" i="6"/>
  <c r="AJ26" i="6"/>
  <c r="AJ25" i="6"/>
  <c r="AJ24" i="6"/>
  <c r="AJ23" i="6"/>
  <c r="AJ22" i="6"/>
  <c r="AJ21" i="6"/>
  <c r="AJ20" i="6"/>
  <c r="AJ19" i="6"/>
  <c r="AJ18" i="6"/>
  <c r="AJ17" i="6"/>
  <c r="AJ16" i="6"/>
  <c r="AJ15" i="6"/>
  <c r="AJ14" i="6"/>
  <c r="AJ13" i="6"/>
  <c r="AJ12" i="6"/>
  <c r="AJ11" i="6"/>
  <c r="AJ10" i="6"/>
  <c r="AJ9" i="6"/>
  <c r="AJ8" i="6"/>
  <c r="AJ7" i="6"/>
  <c r="AG33" i="6"/>
  <c r="AG32" i="6"/>
  <c r="AG31" i="6"/>
  <c r="AG30" i="6"/>
  <c r="AG29" i="6"/>
  <c r="AG28" i="6"/>
  <c r="AG27" i="6"/>
  <c r="AG26" i="6"/>
  <c r="AG25" i="6"/>
  <c r="AG24" i="6"/>
  <c r="AG23" i="6"/>
  <c r="AG22" i="6"/>
  <c r="AG21" i="6"/>
  <c r="AG20" i="6"/>
  <c r="AG19" i="6"/>
  <c r="AG18" i="6"/>
  <c r="AG17" i="6"/>
  <c r="AG16" i="6"/>
  <c r="AG15" i="6"/>
  <c r="AG14" i="6"/>
  <c r="AG13" i="6"/>
  <c r="AG12" i="6"/>
  <c r="AG11" i="6"/>
  <c r="AG10" i="6"/>
  <c r="AG9" i="6"/>
  <c r="AG8" i="6"/>
  <c r="AG7" i="6"/>
  <c r="AD33" i="6"/>
  <c r="AD32" i="6"/>
  <c r="AD31" i="6"/>
  <c r="AD30" i="6"/>
  <c r="AD29" i="6"/>
  <c r="AD28" i="6"/>
  <c r="AD27" i="6"/>
  <c r="AD26" i="6"/>
  <c r="AD25" i="6"/>
  <c r="AD24" i="6"/>
  <c r="AD23" i="6"/>
  <c r="AD22" i="6"/>
  <c r="AD21" i="6"/>
  <c r="AD20" i="6"/>
  <c r="AD19" i="6"/>
  <c r="AD18" i="6"/>
  <c r="AD17" i="6"/>
  <c r="AD16" i="6"/>
  <c r="AD15" i="6"/>
  <c r="AD14" i="6"/>
  <c r="AD13" i="6"/>
  <c r="AD12" i="6"/>
  <c r="AD11" i="6"/>
  <c r="AD10" i="6"/>
  <c r="AD9" i="6"/>
  <c r="AD8" i="6"/>
  <c r="AD7" i="6"/>
  <c r="AA33" i="6"/>
  <c r="AA32" i="6"/>
  <c r="AA31" i="6"/>
  <c r="AA30" i="6"/>
  <c r="AA29" i="6"/>
  <c r="AA28" i="6"/>
  <c r="AA27" i="6"/>
  <c r="AA26" i="6"/>
  <c r="AA25" i="6"/>
  <c r="AA24" i="6"/>
  <c r="AA23" i="6"/>
  <c r="AA22" i="6"/>
  <c r="AA21" i="6"/>
  <c r="AA20" i="6"/>
  <c r="AA19" i="6"/>
  <c r="AA18" i="6"/>
  <c r="AA17" i="6"/>
  <c r="AA16" i="6"/>
  <c r="AA15" i="6"/>
  <c r="AA14" i="6"/>
  <c r="AA13" i="6"/>
  <c r="AA12" i="6"/>
  <c r="AA11" i="6"/>
  <c r="AA10" i="6"/>
  <c r="AA9" i="6"/>
  <c r="AA8" i="6"/>
  <c r="AA7" i="6"/>
  <c r="X33" i="6"/>
  <c r="X32" i="6"/>
  <c r="X31" i="6"/>
  <c r="X30" i="6"/>
  <c r="X29" i="6"/>
  <c r="X28" i="6"/>
  <c r="X27" i="6"/>
  <c r="X26" i="6"/>
  <c r="X25" i="6"/>
  <c r="X24" i="6"/>
  <c r="X23" i="6"/>
  <c r="X22" i="6"/>
  <c r="X21" i="6"/>
  <c r="X20" i="6"/>
  <c r="X19" i="6"/>
  <c r="X18" i="6"/>
  <c r="X17" i="6"/>
  <c r="X16" i="6"/>
  <c r="X15" i="6"/>
  <c r="X14" i="6"/>
  <c r="X13" i="6"/>
  <c r="X12" i="6"/>
  <c r="X11" i="6"/>
  <c r="X10" i="6"/>
  <c r="X9" i="6"/>
  <c r="X8" i="6"/>
  <c r="X7" i="6"/>
  <c r="U33" i="6"/>
  <c r="U32" i="6"/>
  <c r="U31" i="6"/>
  <c r="U30" i="6"/>
  <c r="U29" i="6"/>
  <c r="U28" i="6"/>
  <c r="U27" i="6"/>
  <c r="U26" i="6"/>
  <c r="U25" i="6"/>
  <c r="U24" i="6"/>
  <c r="U23" i="6"/>
  <c r="U22" i="6"/>
  <c r="U21" i="6"/>
  <c r="U20" i="6"/>
  <c r="U19" i="6"/>
  <c r="U18" i="6"/>
  <c r="U17" i="6"/>
  <c r="U16" i="6"/>
  <c r="U15" i="6"/>
  <c r="U14" i="6"/>
  <c r="U13" i="6"/>
  <c r="U12" i="6"/>
  <c r="U11" i="6"/>
  <c r="U10" i="6"/>
  <c r="U9" i="6"/>
  <c r="U8" i="6"/>
  <c r="U7" i="6"/>
  <c r="R33" i="6"/>
  <c r="R32" i="6"/>
  <c r="R31" i="6"/>
  <c r="R30" i="6"/>
  <c r="R29" i="6"/>
  <c r="R28" i="6"/>
  <c r="R27" i="6"/>
  <c r="R26" i="6"/>
  <c r="R25" i="6"/>
  <c r="R24" i="6"/>
  <c r="R23" i="6"/>
  <c r="R22" i="6"/>
  <c r="R21" i="6"/>
  <c r="R20" i="6"/>
  <c r="R19" i="6"/>
  <c r="R18" i="6"/>
  <c r="R17" i="6"/>
  <c r="R16" i="6"/>
  <c r="R15" i="6"/>
  <c r="R14" i="6"/>
  <c r="R13" i="6"/>
  <c r="R12" i="6"/>
  <c r="R11" i="6"/>
  <c r="R10" i="6"/>
  <c r="R9" i="6"/>
  <c r="R8" i="6"/>
  <c r="R7" i="6"/>
  <c r="O33" i="6"/>
  <c r="O32" i="6"/>
  <c r="O31" i="6"/>
  <c r="O30" i="6"/>
  <c r="O29" i="6"/>
  <c r="O28" i="6"/>
  <c r="O27" i="6"/>
  <c r="O26" i="6"/>
  <c r="O25" i="6"/>
  <c r="O24" i="6"/>
  <c r="O23" i="6"/>
  <c r="O22" i="6"/>
  <c r="O21" i="6"/>
  <c r="O20" i="6"/>
  <c r="O19" i="6"/>
  <c r="O18" i="6"/>
  <c r="O17" i="6"/>
  <c r="O16" i="6"/>
  <c r="O15" i="6"/>
  <c r="O14" i="6"/>
  <c r="O13" i="6"/>
  <c r="O12" i="6"/>
  <c r="O11" i="6"/>
  <c r="O10" i="6"/>
  <c r="O9" i="6"/>
  <c r="O8" i="6"/>
  <c r="O7" i="6"/>
  <c r="L33" i="6"/>
  <c r="L32" i="6"/>
  <c r="L31" i="6"/>
  <c r="L30" i="6"/>
  <c r="L29" i="6"/>
  <c r="L28" i="6"/>
  <c r="L27" i="6"/>
  <c r="L26" i="6"/>
  <c r="L25" i="6"/>
  <c r="L24" i="6"/>
  <c r="L23" i="6"/>
  <c r="L22" i="6"/>
  <c r="L21" i="6"/>
  <c r="L20" i="6"/>
  <c r="L19" i="6"/>
  <c r="L18" i="6"/>
  <c r="L17" i="6"/>
  <c r="L16" i="6"/>
  <c r="L15" i="6"/>
  <c r="L14" i="6"/>
  <c r="L13" i="6"/>
  <c r="L12" i="6"/>
  <c r="L11" i="6"/>
  <c r="L10" i="6"/>
  <c r="L9" i="6"/>
  <c r="L8" i="6"/>
  <c r="L7" i="6"/>
  <c r="I8" i="6"/>
  <c r="I9" i="6"/>
  <c r="I10" i="6"/>
  <c r="I11" i="6"/>
  <c r="I12" i="6"/>
  <c r="I13" i="6"/>
  <c r="I14" i="6"/>
  <c r="I15" i="6"/>
  <c r="I16" i="6"/>
  <c r="I17" i="6"/>
  <c r="I18" i="6"/>
  <c r="I19" i="6"/>
  <c r="I20" i="6"/>
  <c r="I21" i="6"/>
  <c r="I22" i="6"/>
  <c r="I23" i="6"/>
  <c r="I24" i="6"/>
  <c r="I25" i="6"/>
  <c r="I26" i="6"/>
  <c r="I27" i="6"/>
  <c r="I28" i="6"/>
  <c r="I29" i="6"/>
  <c r="I30" i="6"/>
  <c r="I31" i="6"/>
  <c r="I32" i="6"/>
  <c r="I33" i="6"/>
  <c r="F8" i="6"/>
  <c r="F9" i="6"/>
  <c r="F10" i="6"/>
  <c r="F11" i="6"/>
  <c r="F12" i="6"/>
  <c r="F13" i="6"/>
  <c r="F14" i="6"/>
  <c r="F15" i="6"/>
  <c r="F16" i="6"/>
  <c r="F17" i="6"/>
  <c r="F18" i="6"/>
  <c r="F19" i="6"/>
  <c r="F20" i="6"/>
  <c r="F21" i="6"/>
  <c r="F22" i="6"/>
  <c r="F23" i="6"/>
  <c r="F24" i="6"/>
  <c r="F25" i="6"/>
  <c r="F26" i="6"/>
  <c r="F27" i="6"/>
  <c r="F28" i="6"/>
  <c r="F29" i="6"/>
  <c r="F30" i="6"/>
  <c r="F31" i="6"/>
  <c r="F32" i="6"/>
  <c r="F33" i="6"/>
  <c r="F7" i="6"/>
  <c r="I7" i="6"/>
  <c r="E33" i="6" l="1"/>
  <c r="H33" i="6"/>
  <c r="K33" i="6"/>
  <c r="N33" i="6"/>
  <c r="Q33" i="6"/>
  <c r="T33" i="6"/>
  <c r="W33" i="6"/>
  <c r="Z33" i="6"/>
  <c r="AC33" i="6"/>
  <c r="AF33" i="6"/>
  <c r="AI33" i="6"/>
  <c r="AL33" i="6"/>
  <c r="AL32" i="6"/>
  <c r="AL31" i="6"/>
  <c r="AL30" i="6"/>
  <c r="AL29" i="6"/>
  <c r="AL28" i="6"/>
  <c r="AL27" i="6"/>
  <c r="AL26" i="6"/>
  <c r="AL25" i="6"/>
  <c r="AL24" i="6"/>
  <c r="AL23" i="6"/>
  <c r="AL22" i="6"/>
  <c r="AL21" i="6"/>
  <c r="AL20" i="6"/>
  <c r="AL19" i="6"/>
  <c r="AL18" i="6"/>
  <c r="AL17" i="6"/>
  <c r="AL16" i="6"/>
  <c r="AL15" i="6"/>
  <c r="AL14" i="6"/>
  <c r="AL13" i="6"/>
  <c r="AL12" i="6"/>
  <c r="AL11" i="6"/>
  <c r="AL10" i="6"/>
  <c r="AL9" i="6"/>
  <c r="AL8" i="6"/>
  <c r="AL7" i="6"/>
  <c r="AI32" i="6"/>
  <c r="AI31" i="6"/>
  <c r="AI30" i="6"/>
  <c r="AI29" i="6"/>
  <c r="AI28" i="6"/>
  <c r="AI27" i="6"/>
  <c r="AI26" i="6"/>
  <c r="AI25" i="6"/>
  <c r="AI24" i="6"/>
  <c r="AI23" i="6"/>
  <c r="AI22" i="6"/>
  <c r="AI21" i="6"/>
  <c r="AI20" i="6"/>
  <c r="AI19" i="6"/>
  <c r="AI18" i="6"/>
  <c r="AI17" i="6"/>
  <c r="AI16" i="6"/>
  <c r="AI15" i="6"/>
  <c r="AI14" i="6"/>
  <c r="AI13" i="6"/>
  <c r="AI12" i="6"/>
  <c r="AI11" i="6"/>
  <c r="AI10" i="6"/>
  <c r="AI9" i="6"/>
  <c r="AI8" i="6"/>
  <c r="AI7" i="6"/>
  <c r="AF32" i="6"/>
  <c r="AF31" i="6"/>
  <c r="AF30" i="6"/>
  <c r="AF29" i="6"/>
  <c r="AF28" i="6"/>
  <c r="AF27" i="6"/>
  <c r="AF26" i="6"/>
  <c r="AF25" i="6"/>
  <c r="AF24" i="6"/>
  <c r="AF23" i="6"/>
  <c r="AF22" i="6"/>
  <c r="AF21" i="6"/>
  <c r="AF20" i="6"/>
  <c r="AF19" i="6"/>
  <c r="AF18" i="6"/>
  <c r="AF17" i="6"/>
  <c r="AF16" i="6"/>
  <c r="AF15" i="6"/>
  <c r="AF14" i="6"/>
  <c r="AF13" i="6"/>
  <c r="AF12" i="6"/>
  <c r="AF11" i="6"/>
  <c r="AF10" i="6"/>
  <c r="AF9" i="6"/>
  <c r="AF8" i="6"/>
  <c r="AF7" i="6"/>
  <c r="AC32" i="6"/>
  <c r="AC31" i="6"/>
  <c r="AC30" i="6"/>
  <c r="AC29" i="6"/>
  <c r="AC28" i="6"/>
  <c r="AC27" i="6"/>
  <c r="AC26" i="6"/>
  <c r="AC25" i="6"/>
  <c r="AC24" i="6"/>
  <c r="AC23" i="6"/>
  <c r="AC22" i="6"/>
  <c r="AC21" i="6"/>
  <c r="AC20" i="6"/>
  <c r="AC19" i="6"/>
  <c r="AC18" i="6"/>
  <c r="AC17" i="6"/>
  <c r="AC16" i="6"/>
  <c r="AC15" i="6"/>
  <c r="AC14" i="6"/>
  <c r="AC13" i="6"/>
  <c r="AC12" i="6"/>
  <c r="AC11" i="6"/>
  <c r="AC10" i="6"/>
  <c r="AC9" i="6"/>
  <c r="AC8" i="6"/>
  <c r="AC7" i="6"/>
  <c r="Z32" i="6"/>
  <c r="Z31" i="6"/>
  <c r="Z30" i="6"/>
  <c r="Z29" i="6"/>
  <c r="Z28" i="6"/>
  <c r="Z27" i="6"/>
  <c r="Z26" i="6"/>
  <c r="Z25" i="6"/>
  <c r="Z24" i="6"/>
  <c r="Z23" i="6"/>
  <c r="Z22" i="6"/>
  <c r="Z21" i="6"/>
  <c r="Z20" i="6"/>
  <c r="Z19" i="6"/>
  <c r="Z18" i="6"/>
  <c r="Z17" i="6"/>
  <c r="Z16" i="6"/>
  <c r="Z15" i="6"/>
  <c r="Z14" i="6"/>
  <c r="Z13" i="6"/>
  <c r="Z12" i="6"/>
  <c r="Z11" i="6"/>
  <c r="Z10" i="6"/>
  <c r="Z9" i="6"/>
  <c r="Z8" i="6"/>
  <c r="Z7" i="6"/>
  <c r="W32" i="6"/>
  <c r="W31" i="6"/>
  <c r="W30" i="6"/>
  <c r="W29" i="6"/>
  <c r="W28" i="6"/>
  <c r="W27" i="6"/>
  <c r="W26" i="6"/>
  <c r="W25" i="6"/>
  <c r="W24" i="6"/>
  <c r="W23" i="6"/>
  <c r="W22" i="6"/>
  <c r="W21" i="6"/>
  <c r="W20" i="6"/>
  <c r="W19" i="6"/>
  <c r="W18" i="6"/>
  <c r="W17" i="6"/>
  <c r="W16" i="6"/>
  <c r="W15" i="6"/>
  <c r="W14" i="6"/>
  <c r="W13" i="6"/>
  <c r="W12" i="6"/>
  <c r="W11" i="6"/>
  <c r="W10" i="6"/>
  <c r="W9" i="6"/>
  <c r="W8" i="6"/>
  <c r="W7" i="6"/>
  <c r="T32" i="6"/>
  <c r="T31" i="6"/>
  <c r="T30" i="6"/>
  <c r="T29" i="6"/>
  <c r="T28" i="6"/>
  <c r="T27" i="6"/>
  <c r="T26" i="6"/>
  <c r="T25" i="6"/>
  <c r="T24" i="6"/>
  <c r="T23" i="6"/>
  <c r="T22" i="6"/>
  <c r="T21" i="6"/>
  <c r="T20" i="6"/>
  <c r="T19" i="6"/>
  <c r="T18" i="6"/>
  <c r="T17" i="6"/>
  <c r="T16" i="6"/>
  <c r="T15" i="6"/>
  <c r="T14" i="6"/>
  <c r="T13" i="6"/>
  <c r="T12" i="6"/>
  <c r="T11" i="6"/>
  <c r="T10" i="6"/>
  <c r="T9" i="6"/>
  <c r="T8" i="6"/>
  <c r="T7" i="6"/>
  <c r="Q32" i="6"/>
  <c r="Q31" i="6"/>
  <c r="Q30" i="6"/>
  <c r="Q29" i="6"/>
  <c r="Q28" i="6"/>
  <c r="Q27" i="6"/>
  <c r="Q26" i="6"/>
  <c r="Q25" i="6"/>
  <c r="Q24" i="6"/>
  <c r="Q23" i="6"/>
  <c r="Q22" i="6"/>
  <c r="Q21" i="6"/>
  <c r="Q20" i="6"/>
  <c r="Q19" i="6"/>
  <c r="Q18" i="6"/>
  <c r="Q17" i="6"/>
  <c r="Q16" i="6"/>
  <c r="Q15" i="6"/>
  <c r="Q14" i="6"/>
  <c r="Q13" i="6"/>
  <c r="Q12" i="6"/>
  <c r="Q11" i="6"/>
  <c r="Q10" i="6"/>
  <c r="Q9" i="6"/>
  <c r="Q8" i="6"/>
  <c r="Q7" i="6"/>
  <c r="N32" i="6"/>
  <c r="N31" i="6"/>
  <c r="N30" i="6"/>
  <c r="N29" i="6"/>
  <c r="N28" i="6"/>
  <c r="N27" i="6"/>
  <c r="N26" i="6"/>
  <c r="N25" i="6"/>
  <c r="N24" i="6"/>
  <c r="N23" i="6"/>
  <c r="N22" i="6"/>
  <c r="N21" i="6"/>
  <c r="N20" i="6"/>
  <c r="N19" i="6"/>
  <c r="N18" i="6"/>
  <c r="N17" i="6"/>
  <c r="N16" i="6"/>
  <c r="N15" i="6"/>
  <c r="N14" i="6"/>
  <c r="N13" i="6"/>
  <c r="N12" i="6"/>
  <c r="N11" i="6"/>
  <c r="N10" i="6"/>
  <c r="N9" i="6"/>
  <c r="N8" i="6"/>
  <c r="N7" i="6"/>
  <c r="K32" i="6"/>
  <c r="K31" i="6"/>
  <c r="K30" i="6"/>
  <c r="K29" i="6"/>
  <c r="K28" i="6"/>
  <c r="K27" i="6"/>
  <c r="K26" i="6"/>
  <c r="K25" i="6"/>
  <c r="K24" i="6"/>
  <c r="K23" i="6"/>
  <c r="K22" i="6"/>
  <c r="K21" i="6"/>
  <c r="K20" i="6"/>
  <c r="K19" i="6"/>
  <c r="K18" i="6"/>
  <c r="K17" i="6"/>
  <c r="K16" i="6"/>
  <c r="K15" i="6"/>
  <c r="K14" i="6"/>
  <c r="K13" i="6"/>
  <c r="K12" i="6"/>
  <c r="K11" i="6"/>
  <c r="K10" i="6"/>
  <c r="K9" i="6"/>
  <c r="K8" i="6"/>
  <c r="K7" i="6"/>
  <c r="H32" i="6"/>
  <c r="H31" i="6"/>
  <c r="H30" i="6"/>
  <c r="H29" i="6"/>
  <c r="H28" i="6"/>
  <c r="H27" i="6"/>
  <c r="H26" i="6"/>
  <c r="H25" i="6"/>
  <c r="H24" i="6"/>
  <c r="H23" i="6"/>
  <c r="H22" i="6"/>
  <c r="H21" i="6"/>
  <c r="H20" i="6"/>
  <c r="H19" i="6"/>
  <c r="H18" i="6"/>
  <c r="H17" i="6"/>
  <c r="H16" i="6"/>
  <c r="H15" i="6"/>
  <c r="H14" i="6"/>
  <c r="H13" i="6"/>
  <c r="H12" i="6"/>
  <c r="H11" i="6"/>
  <c r="H10" i="6"/>
  <c r="H9" i="6"/>
  <c r="H8" i="6"/>
  <c r="H7" i="6"/>
  <c r="E8" i="6"/>
  <c r="E9" i="6"/>
  <c r="E10" i="6"/>
  <c r="E11" i="6"/>
  <c r="E12" i="6"/>
  <c r="E13" i="6"/>
  <c r="E14" i="6"/>
  <c r="E15" i="6"/>
  <c r="E16" i="6"/>
  <c r="E17" i="6"/>
  <c r="E18" i="6"/>
  <c r="E19" i="6"/>
  <c r="E20" i="6"/>
  <c r="E21" i="6"/>
  <c r="E22" i="6"/>
  <c r="E23" i="6"/>
  <c r="E24" i="6"/>
  <c r="E25" i="6"/>
  <c r="E26" i="6"/>
  <c r="E27" i="6"/>
  <c r="E28" i="6"/>
  <c r="E29" i="6"/>
  <c r="E30" i="6"/>
  <c r="E31" i="6"/>
  <c r="E32" i="6"/>
  <c r="E7" i="6"/>
</calcChain>
</file>

<file path=xl/sharedStrings.xml><?xml version="1.0" encoding="utf-8"?>
<sst xmlns="http://schemas.openxmlformats.org/spreadsheetml/2006/main" count="225" uniqueCount="142">
  <si>
    <t>Temperature Monitoring</t>
  </si>
  <si>
    <t>Jan</t>
  </si>
  <si>
    <t>Feb</t>
  </si>
  <si>
    <t>Mar</t>
  </si>
  <si>
    <t>Apr</t>
  </si>
  <si>
    <t>May</t>
  </si>
  <si>
    <t>Jun</t>
  </si>
  <si>
    <t>Jul</t>
  </si>
  <si>
    <t>Aug</t>
  </si>
  <si>
    <t>Sep</t>
  </si>
  <si>
    <t>Oct</t>
  </si>
  <si>
    <t>Nov</t>
  </si>
  <si>
    <t>Dec</t>
  </si>
  <si>
    <t>Motor</t>
  </si>
  <si>
    <t>E/R Temperature</t>
  </si>
  <si>
    <t>No.1 Main Air Compressor</t>
  </si>
  <si>
    <t>No.2 Main Air Compressor</t>
  </si>
  <si>
    <t>No.1 Main Cooling S.W. Pump</t>
  </si>
  <si>
    <t>No.2 Main Cooling S.W. Pump</t>
  </si>
  <si>
    <t>No.3 Main Cooling S.W. Pump</t>
  </si>
  <si>
    <t>FWG Ejector pump</t>
  </si>
  <si>
    <t>No.1 IGG Blower</t>
  </si>
  <si>
    <t>No.2 IGG Blower</t>
  </si>
  <si>
    <t>Incinerator Flue Gas Fan</t>
  </si>
  <si>
    <t>Incinerator Blower Motor</t>
  </si>
  <si>
    <t>No.1 Deck Seal Pump</t>
  </si>
  <si>
    <t>No.2 Deck Seal Pump</t>
  </si>
  <si>
    <t>IGG Scrubber Pump</t>
  </si>
  <si>
    <t>S.No.</t>
  </si>
  <si>
    <t>No.1 G/E L.O. Priming Pump</t>
  </si>
  <si>
    <t>No.2 G/E L.O. Priming Pump</t>
  </si>
  <si>
    <t>No.1 M/E FO Circulating Pump</t>
  </si>
  <si>
    <t>No.2 M/E FO Circulating Pump</t>
  </si>
  <si>
    <t xml:space="preserve">STP Blower </t>
  </si>
  <si>
    <t>STP Discharge Pump</t>
  </si>
  <si>
    <t>Economiser Feed water Pump</t>
  </si>
  <si>
    <t>STP Ejector Pump #1</t>
  </si>
  <si>
    <t>STP Ejector Pump #2</t>
  </si>
  <si>
    <t>No.3 G/E L.O. Priming Pump</t>
  </si>
  <si>
    <t>Vibration Analysis</t>
  </si>
  <si>
    <t>Vel</t>
  </si>
  <si>
    <t>Acc</t>
  </si>
  <si>
    <t>Values</t>
  </si>
  <si>
    <t>Column Labels</t>
  </si>
  <si>
    <t>Grand Total</t>
  </si>
  <si>
    <t xml:space="preserve">No.1 Main LO Pump </t>
  </si>
  <si>
    <t xml:space="preserve">No.2 Main LO Pump </t>
  </si>
  <si>
    <t>No.1 Steering Gear</t>
  </si>
  <si>
    <t>No.2 Steering Gear</t>
  </si>
  <si>
    <t>Jan-Vel</t>
  </si>
  <si>
    <t>Jan-Acc</t>
  </si>
  <si>
    <t>Feb-Vel</t>
  </si>
  <si>
    <t>Feb-Acc</t>
  </si>
  <si>
    <t>Mar-Vel</t>
  </si>
  <si>
    <t>Mar-Acc</t>
  </si>
  <si>
    <t>Apr-Vel</t>
  </si>
  <si>
    <t>Apr-Acc</t>
  </si>
  <si>
    <t>May-Vel</t>
  </si>
  <si>
    <t>May-Acc</t>
  </si>
  <si>
    <t>Jun-Vel</t>
  </si>
  <si>
    <t>Jun-Acc</t>
  </si>
  <si>
    <t>Jul-Vel</t>
  </si>
  <si>
    <t>Jul-Acc</t>
  </si>
  <si>
    <t>Aug-Vel</t>
  </si>
  <si>
    <t>Aug-Acc</t>
  </si>
  <si>
    <t>Sep-Vel</t>
  </si>
  <si>
    <t>Sep-Acc</t>
  </si>
  <si>
    <t>Oct-Vel</t>
  </si>
  <si>
    <t>Oct-Acc</t>
  </si>
  <si>
    <t>Nov-Vel</t>
  </si>
  <si>
    <t>Nov-Acc</t>
  </si>
  <si>
    <t>Dec-Vel</t>
  </si>
  <si>
    <t>Dec-Acc</t>
  </si>
  <si>
    <t xml:space="preserve">Jan-Vel </t>
  </si>
  <si>
    <t xml:space="preserve">Feb-Vel </t>
  </si>
  <si>
    <t xml:space="preserve">Mar-Vel </t>
  </si>
  <si>
    <t xml:space="preserve">Apr-Vel </t>
  </si>
  <si>
    <t xml:space="preserve">May-Vel </t>
  </si>
  <si>
    <t xml:space="preserve">Jun-Vel </t>
  </si>
  <si>
    <t xml:space="preserve">Jul-Vel </t>
  </si>
  <si>
    <t xml:space="preserve">Aug-Vel </t>
  </si>
  <si>
    <t xml:space="preserve">Sep-Vel </t>
  </si>
  <si>
    <t xml:space="preserve">Oct-Vel </t>
  </si>
  <si>
    <t xml:space="preserve">Nov-Vel </t>
  </si>
  <si>
    <t xml:space="preserve">Dec-Vel </t>
  </si>
  <si>
    <t>Jan- Temp</t>
  </si>
  <si>
    <t>Jan-Diff from E/R Temp</t>
  </si>
  <si>
    <t>Feb-Temp</t>
  </si>
  <si>
    <t>Feb-Diff from E/R Temp</t>
  </si>
  <si>
    <t>Mar-Temp</t>
  </si>
  <si>
    <t>Mar-Diff from E/R Temp</t>
  </si>
  <si>
    <t>Apr-Temp</t>
  </si>
  <si>
    <t>Apr-Diff from E/R Temp</t>
  </si>
  <si>
    <t>May-Temp</t>
  </si>
  <si>
    <t>May-Diff from E/R Temp</t>
  </si>
  <si>
    <t>Jun-Diff from E/R Temp</t>
  </si>
  <si>
    <t>Jun-Temp</t>
  </si>
  <si>
    <t>Jul-Temp</t>
  </si>
  <si>
    <t>Jul-Diff from E/R Temp</t>
  </si>
  <si>
    <t>Aug-Temp</t>
  </si>
  <si>
    <t>Aug-Diff from E/R Temp</t>
  </si>
  <si>
    <t>Sept-Temp</t>
  </si>
  <si>
    <t>Sept-Diff from E/R Temp</t>
  </si>
  <si>
    <t>Oct-Temp</t>
  </si>
  <si>
    <t>Oct-Diff from E/R Temp</t>
  </si>
  <si>
    <t>Nov-Temp</t>
  </si>
  <si>
    <t>Nov-Diff from E/R Temp</t>
  </si>
  <si>
    <t>Dec-Temp</t>
  </si>
  <si>
    <t>Dec-Diff from E/R Temp</t>
  </si>
  <si>
    <t xml:space="preserve">Jan-Acc </t>
  </si>
  <si>
    <t xml:space="preserve">Feb-Acc </t>
  </si>
  <si>
    <t xml:space="preserve">Mar-Acc </t>
  </si>
  <si>
    <t xml:space="preserve">Apr-Acc </t>
  </si>
  <si>
    <t xml:space="preserve">May-Acc </t>
  </si>
  <si>
    <t xml:space="preserve">Jun-Acc </t>
  </si>
  <si>
    <t xml:space="preserve">Jul-Acc </t>
  </si>
  <si>
    <t xml:space="preserve">Aug-Acc </t>
  </si>
  <si>
    <t xml:space="preserve">Sep-Acc </t>
  </si>
  <si>
    <t xml:space="preserve">Oct-Acc </t>
  </si>
  <si>
    <t xml:space="preserve">Nov-Acc </t>
  </si>
  <si>
    <t xml:space="preserve">Dec-Acc </t>
  </si>
  <si>
    <t>Guidance
1.	Vibration measurement should be done in port or at anchorage only     
2.	Vibration measurement should be done at the same point every time for comparison      
3.	Measure both acceleration and velocity 
4.	Do not mention units , only mention numbers ( ex – 3.2, 3.6 etc).
5.	Vibration &amp; Acceleration readings for all the mentioned motors to be taken monthly and send by first week of each month.</t>
  </si>
  <si>
    <t>Yellow</t>
  </si>
  <si>
    <t>Red</t>
  </si>
  <si>
    <t>Ideal Temp</t>
  </si>
  <si>
    <t>Jan-Normalised value at 25C</t>
  </si>
  <si>
    <t>Legend</t>
  </si>
  <si>
    <t>Normalised value of Motor 30% more than Ideal Temp for Motor</t>
  </si>
  <si>
    <t>Normalised value of Motor  between 15% to 30% more than Ideal Temp for Motor</t>
  </si>
  <si>
    <t>Feb-Normalised value at 25C</t>
  </si>
  <si>
    <t>Mar-Normalised value at 25C</t>
  </si>
  <si>
    <t>Apr-Normalised value at 25C</t>
  </si>
  <si>
    <t>May-Normalised value at 25C</t>
  </si>
  <si>
    <t>Jun-Normalised value at 25C</t>
  </si>
  <si>
    <t>Jul-Normalised value at 25C</t>
  </si>
  <si>
    <t>Aug-Normalised value at 25C</t>
  </si>
  <si>
    <t>Sept-Normalised value at 25C</t>
  </si>
  <si>
    <t>Oct-Normalised value at 25C</t>
  </si>
  <si>
    <t>Nov-Normalised value at 25C</t>
  </si>
  <si>
    <t>Dec-Normalised value at 25C</t>
  </si>
  <si>
    <t xml:space="preserve">Guidance
1.	Use thermal imaging camera for effective temperature monitoring         
2.	Run the motor on load for some time before thermal imaging, note down Engine Room  temperature during monitoring    
3.	Check thermal images on all sides and note down the highest temperature reading 
4.	Do not mention units when typing Temperature , only mention numbers ( ex – 42 , 45 etc).
5.	Temperature readings for all the mentioned motors to be taken monthly and send by first week of each month.                                                                                                                                                                                                                                                                                                                                                                                                                                                                                                                                                                                             6.Only fill values under Monthly Motor Temperatures, rest all Columns are locked. </t>
  </si>
  <si>
    <t>23..22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</si>
</sst>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theme="1"/>
      <name val="Calibri"/>
      <family val="2"/>
      <scheme val="minor"/>
    </font>
    <font>
      <b/>
      <sz val="14"/>
      <color theme="1"/>
      <name val="Berlin Sans FB Demi"/>
      <family val="2"/>
    </font>
    <font>
      <b/>
      <sz val="12"/>
      <color theme="1"/>
      <name val="Calibri"/>
      <family val="2"/>
      <scheme val="minor"/>
    </font>
    <font>
      <b/>
      <sz val="12"/>
      <color rgb="FFFF0000"/>
      <name val="Arial Black"/>
      <family val="2"/>
    </font>
    <font>
      <b/>
      <sz val="14"/>
      <color theme="1"/>
      <name val="Calibri"/>
      <family val="2"/>
      <scheme val="minor"/>
    </font>
    <font>
      <b/>
      <sz val="14"/>
      <name val="Calibri"/>
      <family val="2"/>
      <scheme val="minor"/>
    </font>
    <font>
      <b/>
      <sz val="12"/>
      <name val="Arial Black"/>
      <family val="2"/>
    </font>
  </fonts>
  <fills count="10">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BDD7EE"/>
        <bgColor indexed="64"/>
      </patternFill>
    </fill>
    <fill>
      <patternFill patternType="solid">
        <fgColor theme="9" tint="0.79998168889431442"/>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3">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1" fillId="4" borderId="1" xfId="0" applyFont="1" applyFill="1" applyBorder="1" applyProtection="1">
      <protection locked="0"/>
    </xf>
    <xf numFmtId="0" fontId="0" fillId="0" borderId="0" xfId="0" applyProtection="1">
      <protection locked="0"/>
    </xf>
    <xf numFmtId="0" fontId="1" fillId="3" borderId="1" xfId="0" applyFont="1" applyFill="1" applyBorder="1" applyAlignment="1">
      <alignment horizontal="center" vertical="center"/>
    </xf>
    <xf numFmtId="0" fontId="1" fillId="3" borderId="1" xfId="0" applyFont="1" applyFill="1" applyBorder="1" applyAlignment="1">
      <alignment horizontal="center"/>
    </xf>
    <xf numFmtId="0" fontId="1" fillId="5" borderId="1" xfId="0" applyFont="1" applyFill="1" applyBorder="1" applyAlignment="1">
      <alignment horizontal="center" vertical="center"/>
    </xf>
    <xf numFmtId="0" fontId="1" fillId="5" borderId="1" xfId="0" applyFont="1" applyFill="1" applyBorder="1"/>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64" fontId="1" fillId="3" borderId="1" xfId="0" applyNumberFormat="1" applyFont="1" applyFill="1" applyBorder="1" applyAlignment="1" applyProtection="1">
      <alignment horizontal="center" vertical="center" wrapText="1"/>
      <protection hidden="1"/>
    </xf>
    <xf numFmtId="164" fontId="1" fillId="3" borderId="1" xfId="0" applyNumberFormat="1" applyFont="1" applyFill="1" applyBorder="1" applyAlignment="1" applyProtection="1">
      <alignment horizontal="center" wrapText="1"/>
      <protection hidden="1"/>
    </xf>
    <xf numFmtId="164" fontId="1" fillId="7" borderId="1" xfId="0" applyNumberFormat="1" applyFont="1" applyFill="1" applyBorder="1" applyAlignment="1" applyProtection="1">
      <alignment horizontal="center" wrapText="1"/>
      <protection hidden="1"/>
    </xf>
    <xf numFmtId="164" fontId="0" fillId="0" borderId="0" xfId="0" applyNumberFormat="1" applyAlignment="1" applyProtection="1">
      <alignment horizontal="center" wrapText="1"/>
      <protection locked="0"/>
    </xf>
    <xf numFmtId="164" fontId="5" fillId="5" borderId="1" xfId="0" applyNumberFormat="1" applyFont="1" applyFill="1" applyBorder="1" applyAlignment="1" applyProtection="1">
      <alignment horizontal="center" vertical="center"/>
      <protection hidden="1"/>
    </xf>
    <xf numFmtId="164" fontId="1" fillId="5" borderId="1" xfId="0" applyNumberFormat="1" applyFont="1" applyFill="1" applyBorder="1" applyProtection="1">
      <protection hidden="1"/>
    </xf>
    <xf numFmtId="164" fontId="6" fillId="4" borderId="1" xfId="0" applyNumberFormat="1" applyFont="1" applyFill="1" applyBorder="1" applyProtection="1">
      <protection locked="0"/>
    </xf>
    <xf numFmtId="164" fontId="5" fillId="6" borderId="1" xfId="0" applyNumberFormat="1" applyFont="1" applyFill="1" applyBorder="1" applyProtection="1">
      <protection hidden="1"/>
    </xf>
    <xf numFmtId="164" fontId="5" fillId="4" borderId="1" xfId="0" applyNumberFormat="1" applyFont="1" applyFill="1" applyBorder="1" applyProtection="1">
      <protection locked="0"/>
    </xf>
    <xf numFmtId="164" fontId="5" fillId="0" borderId="0" xfId="0" applyNumberFormat="1" applyFont="1" applyProtection="1">
      <protection locked="0"/>
    </xf>
    <xf numFmtId="164" fontId="1" fillId="5" borderId="1" xfId="0" applyNumberFormat="1" applyFont="1" applyFill="1" applyBorder="1" applyAlignment="1" applyProtection="1">
      <alignment horizontal="center" vertical="center"/>
      <protection hidden="1"/>
    </xf>
    <xf numFmtId="164" fontId="0" fillId="4" borderId="1" xfId="0" applyNumberFormat="1" applyFill="1" applyBorder="1" applyProtection="1">
      <protection locked="0"/>
    </xf>
    <xf numFmtId="164" fontId="0" fillId="6" borderId="1" xfId="0" applyNumberFormat="1" applyFill="1" applyBorder="1" applyProtection="1">
      <protection hidden="1"/>
    </xf>
    <xf numFmtId="164" fontId="0" fillId="0" borderId="0" xfId="0" applyNumberFormat="1" applyProtection="1">
      <protection locked="0"/>
    </xf>
    <xf numFmtId="164" fontId="0" fillId="0" borderId="0" xfId="0" applyNumberFormat="1" applyAlignment="1">
      <alignment horizontal="center" vertical="center"/>
    </xf>
    <xf numFmtId="164" fontId="0" fillId="0" borderId="0" xfId="0" applyNumberFormat="1"/>
    <xf numFmtId="164" fontId="0" fillId="8" borderId="1" xfId="0" applyNumberFormat="1" applyFill="1" applyBorder="1" applyProtection="1">
      <protection hidden="1"/>
    </xf>
    <xf numFmtId="164" fontId="5" fillId="0" borderId="1" xfId="0" applyNumberFormat="1" applyFont="1" applyBorder="1" applyProtection="1">
      <protection hidden="1"/>
    </xf>
    <xf numFmtId="164" fontId="0" fillId="2" borderId="0" xfId="0" applyNumberFormat="1" applyFill="1" applyAlignment="1">
      <alignment horizontal="center" vertical="center"/>
    </xf>
    <xf numFmtId="164" fontId="0" fillId="9" borderId="0" xfId="0" applyNumberFormat="1" applyFill="1" applyAlignment="1">
      <alignment horizontal="center" vertical="center"/>
    </xf>
    <xf numFmtId="164" fontId="1" fillId="0" borderId="0" xfId="0" applyNumberFormat="1" applyFont="1" applyAlignment="1">
      <alignment horizontal="center" vertic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2" fillId="0" borderId="0" xfId="0" applyFont="1" applyAlignment="1">
      <alignment horizontal="center" vertical="center"/>
    </xf>
    <xf numFmtId="0" fontId="4" fillId="2" borderId="1" xfId="0" applyFont="1" applyFill="1" applyBorder="1" applyAlignment="1" applyProtection="1">
      <alignment horizontal="left" vertical="center" wrapText="1"/>
      <protection locked="0"/>
    </xf>
    <xf numFmtId="0" fontId="3" fillId="2" borderId="1" xfId="0" applyFont="1" applyFill="1" applyBorder="1" applyAlignment="1" applyProtection="1">
      <alignment horizontal="left" vertical="center" wrapText="1"/>
      <protection locked="0"/>
    </xf>
    <xf numFmtId="0" fontId="7" fillId="2" borderId="4" xfId="0" applyFont="1" applyFill="1" applyBorder="1" applyAlignment="1" applyProtection="1">
      <alignment horizontal="left" vertical="center" wrapText="1"/>
      <protection locked="0"/>
    </xf>
    <xf numFmtId="0" fontId="7" fillId="2" borderId="0" xfId="0" applyFont="1" applyFill="1" applyAlignment="1" applyProtection="1">
      <alignment horizontal="left" vertical="center" wrapText="1"/>
      <protection locked="0"/>
    </xf>
    <xf numFmtId="0" fontId="0" fillId="0" borderId="0" xfId="0" applyNumberFormat="1"/>
  </cellXfs>
  <cellStyles count="1">
    <cellStyle name="Normal" xfId="0" builtinId="0"/>
  </cellStyles>
  <dxfs count="36">
    <dxf>
      <fill>
        <patternFill patternType="solid">
          <bgColor theme="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patternType="solid">
          <bgColor theme="0"/>
        </patternFill>
      </fill>
    </dxf>
    <dxf>
      <fill>
        <patternFill patternType="solid">
          <bgColor theme="0"/>
        </patternFill>
      </fill>
    </dxf>
    <dxf>
      <fill>
        <patternFill>
          <bgColor rgb="FFFF0000"/>
        </patternFill>
      </fill>
    </dxf>
    <dxf>
      <fill>
        <patternFill>
          <bgColor rgb="FFFFFF00"/>
        </patternFill>
      </fill>
    </dxf>
    <dxf>
      <fill>
        <patternFill patternType="solid">
          <bgColor theme="0"/>
        </patternFill>
      </fill>
    </dxf>
    <dxf>
      <fill>
        <patternFill>
          <bgColor rgb="FFFF0000"/>
        </patternFill>
      </fill>
    </dxf>
    <dxf>
      <fill>
        <patternFill>
          <bgColor rgb="FFFFFF00"/>
        </patternFill>
      </fill>
    </dxf>
    <dxf>
      <fill>
        <patternFill patternType="solid">
          <bgColor theme="0"/>
        </patternFill>
      </fill>
    </dxf>
    <dxf>
      <fill>
        <patternFill>
          <bgColor rgb="FFFF0000"/>
        </patternFill>
      </fill>
    </dxf>
    <dxf>
      <fill>
        <patternFill>
          <bgColor rgb="FFFFFF00"/>
        </patternFill>
      </fill>
    </dxf>
    <dxf>
      <fill>
        <patternFill patternType="solid">
          <bgColor theme="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FF00"/>
        </patternFill>
      </fill>
    </dxf>
    <dxf>
      <fill>
        <patternFill patternType="solid">
          <bgColor theme="0"/>
        </patternFill>
      </fill>
    </dxf>
    <dxf>
      <fill>
        <patternFill>
          <bgColor rgb="FFFF0000"/>
        </patternFill>
      </fill>
    </dxf>
    <dxf>
      <fill>
        <patternFill>
          <bgColor rgb="FFFFFF00"/>
        </patternFill>
      </fill>
    </dxf>
    <dxf>
      <fill>
        <patternFill patternType="solid">
          <bgColor theme="0"/>
        </patternFill>
      </fill>
    </dxf>
    <dxf>
      <fill>
        <patternFill>
          <bgColor rgb="FFFF0000"/>
        </patternFill>
      </fill>
    </dxf>
    <dxf>
      <fill>
        <patternFill>
          <bgColor rgb="FFFFFF00"/>
        </patternFill>
      </fill>
    </dxf>
    <dxf>
      <fill>
        <patternFill patternType="solid">
          <bgColor theme="0"/>
        </patternFill>
      </fill>
    </dxf>
    <dxf>
      <fill>
        <patternFill>
          <bgColor rgb="FFFF0000"/>
        </patternFill>
      </fill>
    </dxf>
    <dxf>
      <fill>
        <patternFill>
          <bgColor rgb="FFFFFF00"/>
        </patternFill>
      </fill>
    </dxf>
    <dxf>
      <fill>
        <patternFill patternType="solid">
          <bgColor theme="0"/>
        </patternFill>
      </fill>
    </dxf>
    <dxf>
      <fill>
        <patternFill>
          <bgColor rgb="FFFF0000"/>
        </patternFill>
      </fill>
    </dxf>
    <dxf>
      <fill>
        <patternFill>
          <bgColor rgb="FFFFFF00"/>
        </patternFill>
      </fill>
    </dxf>
  </dxfs>
  <tableStyles count="0" defaultTableStyle="TableStyleMedium2" defaultPivotStyle="PivotStyleLight16"/>
  <colors>
    <mruColors>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SG" sz="2000" b="1"/>
              <a:t>Main</a:t>
            </a:r>
            <a:r>
              <a:rPr lang="en-SG" sz="2000" b="1" baseline="0"/>
              <a:t> Cooling S/W Pump-Diff from E/R Temp</a:t>
            </a:r>
            <a:endParaRPr lang="en-SG" sz="2000" b="1"/>
          </a:p>
        </c:rich>
      </c:tx>
      <c:overlay val="0"/>
      <c:spPr>
        <a:noFill/>
        <a:ln>
          <a:noFill/>
        </a:ln>
        <a:effectLst/>
      </c:spPr>
    </c:title>
    <c:autoTitleDeleted val="0"/>
    <c:plotArea>
      <c:layout>
        <c:manualLayout>
          <c:layoutTarget val="inner"/>
          <c:xMode val="edge"/>
          <c:yMode val="edge"/>
          <c:x val="2.6217571037680958E-2"/>
          <c:y val="9.1239657494952914E-2"/>
          <c:w val="0.9667262001249286"/>
          <c:h val="0.67534297747665262"/>
        </c:manualLayout>
      </c:layout>
      <c:lineChart>
        <c:grouping val="standard"/>
        <c:varyColors val="0"/>
        <c:ser>
          <c:idx val="3"/>
          <c:order val="3"/>
          <c:tx>
            <c:strRef>
              <c:f>Temperature!$B$9</c:f>
              <c:strCache>
                <c:ptCount val="1"/>
                <c:pt idx="0">
                  <c:v>No.1 Main Cooling S.W. Pump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(Temperature!$E$9,Temperature!$H$9,Temperature!$K$9,Temperature!$N$9,Temperature!$Q$9,Temperature!$T$9,Temperature!$W$9,Temperature!$Z$9,Temperature!$AC$9,Temperature!$AF$9,Temperature!$AI$9,Temperature!$AL$9)</c:f>
              <c:numCache>
                <c:formatCode>0;\-0;;@</c:formatCode>
                <c:ptCount val="12"/>
                <c:pt idx="0">
                  <c:v>10</c:v>
                </c:pt>
                <c:pt idx="1">
                  <c:v>-38</c:v>
                </c:pt>
                <c:pt idx="2">
                  <c:v>11</c:v>
                </c:pt>
                <c:pt idx="3">
                  <c:v>10</c:v>
                </c:pt>
                <c:pt idx="4">
                  <c:v>-28</c:v>
                </c:pt>
                <c:pt idx="5">
                  <c:v>-32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00-4EE5-4126-839A-A313A4190294}"/>
            </c:ext>
          </c:extLst>
        </c:ser>
        <c:ser>
          <c:idx val="4"/>
          <c:order val="4"/>
          <c:tx>
            <c:strRef>
              <c:f>Temperature!$B$10</c:f>
              <c:strCache>
                <c:ptCount val="1"/>
                <c:pt idx="0">
                  <c:v>No.2 Main Cooling S.W. Pump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(Temperature!$E$10,Temperature!$H$10,Temperature!$K$10,Temperature!$N$10,Temperature!$Q$10,Temperature!$T$10,Temperature!$W$10,Temperature!$Z$10,Temperature!$AC$10,Temperature!$AF$10,Temperature!$AI$10,Temperature!$AL$10)</c:f>
              <c:numCache>
                <c:formatCode>0;\-0;;@</c:formatCode>
                <c:ptCount val="12"/>
                <c:pt idx="0">
                  <c:v>-25</c:v>
                </c:pt>
                <c:pt idx="1">
                  <c:v>4</c:v>
                </c:pt>
                <c:pt idx="2">
                  <c:v>-28</c:v>
                </c:pt>
                <c:pt idx="3">
                  <c:v>-32</c:v>
                </c:pt>
                <c:pt idx="4">
                  <c:v>12</c:v>
                </c:pt>
                <c:pt idx="5">
                  <c:v>10</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01-4EE5-4126-839A-A313A4190294}"/>
            </c:ext>
          </c:extLst>
        </c:ser>
        <c:ser>
          <c:idx val="5"/>
          <c:order val="5"/>
          <c:tx>
            <c:strRef>
              <c:f>Temperature!$B$11</c:f>
              <c:strCache>
                <c:ptCount val="1"/>
                <c:pt idx="0">
                  <c:v>No.3 Main Cooling S.W. Pump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(Temperature!$E$11,Temperature!$H$11,Temperature!$K$11,Temperature!$N$11,Temperature!$Q$11,Temperature!$T$11,Temperature!$W$11,Temperature!$Z$11,Temperature!$AC$11,Temperature!$AF$11,Temperature!$AI$11,Temperature!$AL$11)</c:f>
              <c:numCache>
                <c:formatCode>0;\-0;;@</c:formatCode>
                <c:ptCount val="12"/>
                <c:pt idx="0">
                  <c:v>-25</c:v>
                </c:pt>
                <c:pt idx="1">
                  <c:v>-38</c:v>
                </c:pt>
                <c:pt idx="2">
                  <c:v>-28</c:v>
                </c:pt>
                <c:pt idx="3">
                  <c:v>-32</c:v>
                </c:pt>
                <c:pt idx="4">
                  <c:v>-28</c:v>
                </c:pt>
                <c:pt idx="5">
                  <c:v>-32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02-4EE5-4126-839A-A313A4190294}"/>
            </c:ext>
          </c:extLst>
        </c:ser>
        <c:ser>
          <c:idx val="9"/>
          <c:order val="9"/>
          <c:tx>
            <c:strRef>
              <c:f>Temperature!#REF!</c:f>
              <c:strCache>
                <c:ptCount val="1"/>
                <c:pt idx="0">
                  <c:v>#REF!</c:v>
                </c:pt>
              </c:strCache>
              <c:extLst xmlns:c15="http://schemas.microsoft.com/office/drawing/2012/chart"/>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9-4EE5-4126-839A-A313A4190294}"/>
            </c:ext>
          </c:extLst>
        </c:ser>
        <c:ser>
          <c:idx val="10"/>
          <c:order val="10"/>
          <c:tx>
            <c:strRef>
              <c:f>Temperature!#REF!</c:f>
              <c:strCache>
                <c:ptCount val="1"/>
                <c:pt idx="0">
                  <c:v>#REF!</c:v>
                </c:pt>
              </c:strCache>
              <c:extLst xmlns:c15="http://schemas.microsoft.com/office/drawing/2012/chart"/>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A-4EE5-4126-839A-A313A4190294}"/>
            </c:ext>
          </c:extLst>
        </c:ser>
        <c:ser>
          <c:idx val="11"/>
          <c:order val="11"/>
          <c:tx>
            <c:strRef>
              <c:f>Temperature!#REF!</c:f>
              <c:strCache>
                <c:ptCount val="1"/>
                <c:pt idx="0">
                  <c:v>#REF!</c:v>
                </c:pt>
              </c:strCache>
              <c:extLst xmlns:c15="http://schemas.microsoft.com/office/drawing/2012/chart"/>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B-4EE5-4126-839A-A313A4190294}"/>
            </c:ext>
          </c:extLst>
        </c:ser>
        <c:ser>
          <c:idx val="12"/>
          <c:order val="12"/>
          <c:tx>
            <c:strRef>
              <c:f>Temperature!#REF!</c:f>
              <c:strCache>
                <c:ptCount val="1"/>
                <c:pt idx="0">
                  <c:v>#REF!</c:v>
                </c:pt>
              </c:strCache>
              <c:extLst xmlns:c15="http://schemas.microsoft.com/office/drawing/2012/chart"/>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C-4EE5-4126-839A-A313A4190294}"/>
            </c:ext>
          </c:extLst>
        </c:ser>
        <c:dLbls>
          <c:showLegendKey val="0"/>
          <c:showVal val="0"/>
          <c:showCatName val="0"/>
          <c:showSerName val="0"/>
          <c:showPercent val="0"/>
          <c:showBubbleSize val="0"/>
        </c:dLbls>
        <c:marker val="1"/>
        <c:smooth val="0"/>
        <c:axId val="73747456"/>
        <c:axId val="73765248"/>
        <c:extLst>
          <c:ext xmlns:c15="http://schemas.microsoft.com/office/drawing/2012/chart" uri="{02D57815-91ED-43cb-92C2-25804820EDAC}">
            <c15:filteredLineSeries>
              <c15:ser>
                <c:idx val="0"/>
                <c:order val="0"/>
                <c:tx>
                  <c:strRef>
                    <c:extLst>
                      <c:ext uri="{02D57815-91ED-43cb-92C2-25804820EDAC}">
                        <c15:formulaRef>
                          <c15:sqref>Temperature!$B$6</c15:sqref>
                        </c15:formulaRef>
                      </c:ext>
                    </c:extLst>
                    <c:strCache>
                      <c:ptCount val="1"/>
                      <c:pt idx="0">
                        <c:v>E/R Temperature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extLst>
                      <c:ex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c:ext uri="{02D57815-91ED-43cb-92C2-25804820EDAC}">
                        <c15:formulaRef>
                          <c15:sqref>(Temperature!$E$6,Temperature!$H$6,Temperature!$K$6,Temperature!$N$6,Temperature!$Q$6,Temperature!$T$6,Temperature!$W$6,Temperature!$Z$6,Temperature!$AC$6,Temperature!$AF$6,Temperature!$AI$6,Temperature!$AL$6)</c15:sqref>
                        </c15:formulaRef>
                      </c:ext>
                    </c:extLst>
                    <c:numCache>
                      <c:formatCode>0;\-0;;@</c:formatCode>
                      <c:ptCount val="12"/>
                    </c:numCache>
                  </c:numRef>
                </c:val>
                <c:smooth val="0"/>
                <c:extLst>
                  <c:ext xmlns:c16="http://schemas.microsoft.com/office/drawing/2014/chart" uri="{C3380CC4-5D6E-409C-BE32-E72D297353CC}">
                    <c16:uniqueId val="{00000003-4EE5-4126-839A-A313A419029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Temperature!$B$7</c15:sqref>
                        </c15:formulaRef>
                      </c:ext>
                    </c:extLst>
                    <c:strCache>
                      <c:ptCount val="1"/>
                      <c:pt idx="0">
                        <c:v>No.1 Main Air Compressor</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(Temperature!$E$7,Temperature!$H$7,Temperature!$K$7,Temperature!$N$7,Temperature!$Q$7,Temperature!$T$7,Temperature!$W$7,Temperature!$Z$7,Temperature!$AC$7,Temperature!$AF$7,Temperature!$AI$7,Temperature!$AL$7)</c15:sqref>
                        </c15:formulaRef>
                      </c:ext>
                    </c:extLst>
                    <c:numCache>
                      <c:formatCode>0;\-0;;@</c:formatCode>
                      <c:ptCount val="12"/>
                      <c:pt idx="0">
                        <c:v>13</c:v>
                      </c:pt>
                      <c:pt idx="1">
                        <c:v>6</c:v>
                      </c:pt>
                      <c:pt idx="2">
                        <c:v>9</c:v>
                      </c:pt>
                      <c:pt idx="3">
                        <c:v>11</c:v>
                      </c:pt>
                      <c:pt idx="4">
                        <c:v>14</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4-4EE5-4126-839A-A313A419029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Temperature!$B$8</c15:sqref>
                        </c15:formulaRef>
                      </c:ext>
                    </c:extLst>
                    <c:strCache>
                      <c:ptCount val="1"/>
                      <c:pt idx="0">
                        <c:v>No.2 Main Air Compressor</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(Temperature!$E$8,Temperature!$H$8,Temperature!$K$8,Temperature!$N$8,Temperature!$Q$8,Temperature!$T$8,Temperature!$W$8,Temperature!$Z$8,Temperature!$AC$8,Temperature!$AF$8,Temperature!$AI$8,Temperature!$AL$8)</c15:sqref>
                        </c15:formulaRef>
                      </c:ext>
                    </c:extLst>
                    <c:numCache>
                      <c:formatCode>0;\-0;;@</c:formatCode>
                      <c:ptCount val="12"/>
                      <c:pt idx="0">
                        <c:v>11</c:v>
                      </c:pt>
                      <c:pt idx="1">
                        <c:v>6</c:v>
                      </c:pt>
                      <c:pt idx="2">
                        <c:v>10</c:v>
                      </c:pt>
                      <c:pt idx="3">
                        <c:v>12</c:v>
                      </c:pt>
                      <c:pt idx="4">
                        <c:v>12</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5-4EE5-4126-839A-A313A419029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Temperature!$B$12</c15:sqref>
                        </c15:formulaRef>
                      </c:ext>
                    </c:extLst>
                    <c:strCache>
                      <c:ptCount val="1"/>
                      <c:pt idx="0">
                        <c:v>FWG Ejector pump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(Temperature!$E$12,Temperature!$H$12,Temperature!$K$12,Temperature!$N$12,Temperature!$Q$12,Temperature!$T$12,Temperature!$W$12,Temperature!$Z$12,Temperature!$AC$12,Temperature!$AF$12,Temperature!$AI$12,Temperature!$AL$12)</c15:sqref>
                        </c15:formulaRef>
                      </c:ext>
                    </c:extLst>
                    <c:numCache>
                      <c:formatCode>0;\-0;;@</c:formatCode>
                      <c:ptCount val="12"/>
                      <c:pt idx="0">
                        <c:v>11</c:v>
                      </c:pt>
                      <c:pt idx="1">
                        <c:v>2</c:v>
                      </c:pt>
                      <c:pt idx="2">
                        <c:v>9</c:v>
                      </c:pt>
                      <c:pt idx="3">
                        <c:v>11</c:v>
                      </c:pt>
                      <c:pt idx="4">
                        <c:v>16</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4EE5-4126-839A-A313A4190294}"/>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Temperature!$B$13</c15:sqref>
                        </c15:formulaRef>
                      </c:ext>
                    </c:extLst>
                    <c:strCache>
                      <c:ptCount val="1"/>
                      <c:pt idx="0">
                        <c:v>No.1 IGG Blower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(Temperature!$E$13,Temperature!$H$13,Temperature!$K$13,Temperature!$N$13,Temperature!$Q$13,Temperature!$T$13,Temperature!$W$13,Temperature!$Z$13,Temperature!$AC$13,Temperature!$AF$13,Temperature!$AI$13,Temperature!$AL$13)</c15:sqref>
                        </c15:formulaRef>
                      </c:ext>
                    </c:extLst>
                    <c:numCache>
                      <c:formatCode>0;\-0;;@</c:formatCode>
                      <c:ptCount val="12"/>
                      <c:pt idx="0">
                        <c:v>-25</c:v>
                      </c:pt>
                      <c:pt idx="1">
                        <c:v>4</c:v>
                      </c:pt>
                      <c:pt idx="2">
                        <c:v>-28</c:v>
                      </c:pt>
                      <c:pt idx="3">
                        <c:v>9</c:v>
                      </c:pt>
                      <c:pt idx="4">
                        <c:v>-28</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7-4EE5-4126-839A-A313A4190294}"/>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Temperature!$B$14</c15:sqref>
                        </c15:formulaRef>
                      </c:ext>
                    </c:extLst>
                    <c:strCache>
                      <c:ptCount val="1"/>
                      <c:pt idx="0">
                        <c:v>No.2 IGG Blower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(Temperature!$E$14,Temperature!$H$14,Temperature!$K$14,Temperature!$N$14,Temperature!$Q$14,Temperature!$T$14,Temperature!$W$14,Temperature!$Z$14,Temperature!$AC$14,Temperature!$AF$14,Temperature!$AI$14,Temperature!$AL$14)</c15:sqref>
                        </c15:formulaRef>
                      </c:ext>
                    </c:extLst>
                    <c:numCache>
                      <c:formatCode>0;\-0;;@</c:formatCode>
                      <c:ptCount val="12"/>
                      <c:pt idx="0">
                        <c:v>8</c:v>
                      </c:pt>
                      <c:pt idx="1">
                        <c:v>-38</c:v>
                      </c:pt>
                      <c:pt idx="2">
                        <c:v>9</c:v>
                      </c:pt>
                      <c:pt idx="3">
                        <c:v>13</c:v>
                      </c:pt>
                      <c:pt idx="4">
                        <c:v>14</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8-4EE5-4126-839A-A313A4190294}"/>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Temperature!$B$15</c15:sqref>
                        </c15:formulaRef>
                      </c:ext>
                    </c:extLst>
                    <c:strCache>
                      <c:ptCount val="1"/>
                      <c:pt idx="0">
                        <c:v>Incinerator Flue Gas Fan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(Temperature!$E$15,Temperature!$H$15,Temperature!$K$15,Temperature!$N$15,Temperature!$Q$15,Temperature!$T$15,Temperature!$W$15,Temperature!$Z$15,Temperature!$AC$15,Temperature!$AF$15,Temperature!$AI$15,Temperature!$AL$15)</c15:sqref>
                        </c15:formulaRef>
                      </c:ext>
                    </c:extLst>
                    <c:numCache>
                      <c:formatCode>0;\-0;;@</c:formatCode>
                      <c:ptCount val="12"/>
                      <c:pt idx="0">
                        <c:v>9</c:v>
                      </c:pt>
                      <c:pt idx="1">
                        <c:v>4</c:v>
                      </c:pt>
                      <c:pt idx="2">
                        <c:v>8</c:v>
                      </c:pt>
                      <c:pt idx="3">
                        <c:v>9</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D-4EE5-4126-839A-A313A4190294}"/>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Temperature!$B$16</c15:sqref>
                        </c15:formulaRef>
                      </c:ext>
                    </c:extLst>
                    <c:strCache>
                      <c:ptCount val="1"/>
                      <c:pt idx="0">
                        <c:v>Incinerator Blower Motor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(Temperature!$E$16,Temperature!$H$16,Temperature!$K$16,Temperature!$N$16,Temperature!$Q$16,Temperature!$T$16,Temperature!$W$16,Temperature!$Z$16,Temperature!$AC$16,Temperature!$AF$16,Temperature!$AI$16,Temperature!$AL$16)</c15:sqref>
                        </c15:formulaRef>
                      </c:ext>
                    </c:extLst>
                    <c:numCache>
                      <c:formatCode>0;\-0;;@</c:formatCode>
                      <c:ptCount val="12"/>
                      <c:pt idx="0">
                        <c:v>10</c:v>
                      </c:pt>
                      <c:pt idx="1">
                        <c:v>0</c:v>
                      </c:pt>
                      <c:pt idx="2">
                        <c:v>7</c:v>
                      </c:pt>
                      <c:pt idx="3">
                        <c:v>10</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E-4EE5-4126-839A-A313A4190294}"/>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Temperature!$B$17</c15:sqref>
                        </c15:formulaRef>
                      </c:ext>
                    </c:extLst>
                    <c:strCache>
                      <c:ptCount val="1"/>
                      <c:pt idx="0">
                        <c:v>No.1 Deck Seal Pump</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(Temperature!$E$17,Temperature!$H$17,Temperature!$K$17,Temperature!$N$17,Temperature!$Q$17,Temperature!$T$17,Temperature!$W$17,Temperature!$Z$17,Temperature!$AC$17,Temperature!$AF$17,Temperature!$AI$17,Temperature!$AL$17)</c15:sqref>
                        </c15:formulaRef>
                      </c:ext>
                    </c:extLst>
                    <c:numCache>
                      <c:formatCode>0;\-0;;@</c:formatCode>
                      <c:ptCount val="12"/>
                      <c:pt idx="0">
                        <c:v>7</c:v>
                      </c:pt>
                      <c:pt idx="1">
                        <c:v>-38</c:v>
                      </c:pt>
                      <c:pt idx="2">
                        <c:v>8</c:v>
                      </c:pt>
                      <c:pt idx="3">
                        <c:v>8</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F-4EE5-4126-839A-A313A4190294}"/>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Temperature!$B$18</c15:sqref>
                        </c15:formulaRef>
                      </c:ext>
                    </c:extLst>
                    <c:strCache>
                      <c:ptCount val="1"/>
                      <c:pt idx="0">
                        <c:v>No.2 Deck Seal Pump</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(Temperature!$E$18,Temperature!$H$18,Temperature!$K$18,Temperature!$N$18,Temperature!$Q$18,Temperature!$T$18,Temperature!$W$18,Temperature!$Z$18,Temperature!$AC$18,Temperature!$AF$18,Temperature!$AI$18,Temperature!$AL$18)</c15:sqref>
                        </c15:formulaRef>
                      </c:ext>
                    </c:extLst>
                    <c:numCache>
                      <c:formatCode>0;\-0;;@</c:formatCode>
                      <c:ptCount val="12"/>
                      <c:pt idx="0">
                        <c:v>-25</c:v>
                      </c:pt>
                      <c:pt idx="1">
                        <c:v>-1</c:v>
                      </c:pt>
                      <c:pt idx="2">
                        <c:v>-28</c:v>
                      </c:pt>
                      <c:pt idx="3">
                        <c:v>-32</c:v>
                      </c:pt>
                      <c:pt idx="4">
                        <c:v>10</c:v>
                      </c:pt>
                      <c:pt idx="5">
                        <c:v>5</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0-4EE5-4126-839A-A313A4190294}"/>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Temperature!$B$19</c15:sqref>
                        </c15:formulaRef>
                      </c:ext>
                    </c:extLst>
                    <c:strCache>
                      <c:ptCount val="1"/>
                      <c:pt idx="0">
                        <c:v>IGG Scrubber Pump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(Temperature!$E$19,Temperature!$H$19,Temperature!$K$19,Temperature!$N$19,Temperature!$Q$19,Temperature!$T$19,Temperature!$W$19,Temperature!$Z$19,Temperature!$AC$19,Temperature!$AF$19,Temperature!$AI$19,Temperature!$AL$19)</c15:sqref>
                        </c15:formulaRef>
                      </c:ext>
                    </c:extLst>
                    <c:numCache>
                      <c:formatCode>0;\-0;;@</c:formatCode>
                      <c:ptCount val="12"/>
                      <c:pt idx="0">
                        <c:v>13</c:v>
                      </c:pt>
                      <c:pt idx="1">
                        <c:v>2</c:v>
                      </c:pt>
                      <c:pt idx="2">
                        <c:v>10</c:v>
                      </c:pt>
                      <c:pt idx="3">
                        <c:v>12</c:v>
                      </c:pt>
                      <c:pt idx="4">
                        <c:v>12</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1-4EE5-4126-839A-A313A4190294}"/>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Temperature!$B$20</c15:sqref>
                        </c15:formulaRef>
                      </c:ext>
                    </c:extLst>
                    <c:strCache>
                      <c:ptCount val="1"/>
                      <c:pt idx="0">
                        <c:v>No.1 G/E L.O. Priming Pump</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(Temperature!$E$20,Temperature!$H$20,Temperature!$K$20,Temperature!$N$20,Temperature!$Q$20,Temperature!$T$20,Temperature!$W$20,Temperature!$Z$20,Temperature!$AC$20,Temperature!$AF$20,Temperature!$AI$20,Temperature!$AL$20)</c15:sqref>
                        </c15:formulaRef>
                      </c:ext>
                    </c:extLst>
                    <c:numCache>
                      <c:formatCode>0;\-0;;@</c:formatCode>
                      <c:ptCount val="12"/>
                      <c:pt idx="0">
                        <c:v>12</c:v>
                      </c:pt>
                      <c:pt idx="1">
                        <c:v>0</c:v>
                      </c:pt>
                      <c:pt idx="2">
                        <c:v>8</c:v>
                      </c:pt>
                      <c:pt idx="3">
                        <c:v>10</c:v>
                      </c:pt>
                      <c:pt idx="4">
                        <c:v>10</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2-4EE5-4126-839A-A313A4190294}"/>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Temperature!$B$21</c15:sqref>
                        </c15:formulaRef>
                      </c:ext>
                    </c:extLst>
                    <c:strCache>
                      <c:ptCount val="1"/>
                      <c:pt idx="0">
                        <c:v>No.2 G/E L.O. Priming Pump</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(Temperature!$E$21,Temperature!$H$21,Temperature!$K$21,Temperature!$N$21,Temperature!$Q$21,Temperature!$T$21,Temperature!$W$21,Temperature!$Z$21,Temperature!$AC$21,Temperature!$AF$21,Temperature!$AI$21,Temperature!$AL$21)</c15:sqref>
                        </c15:formulaRef>
                      </c:ext>
                    </c:extLst>
                    <c:numCache>
                      <c:formatCode>0;\-0;;@</c:formatCode>
                      <c:ptCount val="12"/>
                      <c:pt idx="0">
                        <c:v>11</c:v>
                      </c:pt>
                      <c:pt idx="1">
                        <c:v>0</c:v>
                      </c:pt>
                      <c:pt idx="2">
                        <c:v>9</c:v>
                      </c:pt>
                      <c:pt idx="3">
                        <c:v>9</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3-4EE5-4126-839A-A313A4190294}"/>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Temperature!$B$22</c15:sqref>
                        </c15:formulaRef>
                      </c:ext>
                    </c:extLst>
                    <c:strCache>
                      <c:ptCount val="1"/>
                      <c:pt idx="0">
                        <c:v>No.3 G/E L.O. Priming Pump</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(Temperature!$E$22,Temperature!$H$22,Temperature!$K$22,Temperature!$N$22,Temperature!$Q$22,Temperature!$T$22,Temperature!$W$22,Temperature!$Z$22,Temperature!$AC$22,Temperature!$AF$22,Temperature!$AI$22,Temperature!$AL$22)</c15:sqref>
                        </c15:formulaRef>
                      </c:ext>
                    </c:extLst>
                    <c:numCache>
                      <c:formatCode>0;\-0;;@</c:formatCode>
                      <c:ptCount val="12"/>
                      <c:pt idx="0">
                        <c:v>10</c:v>
                      </c:pt>
                      <c:pt idx="1">
                        <c:v>-2</c:v>
                      </c:pt>
                      <c:pt idx="2">
                        <c:v>8</c:v>
                      </c:pt>
                      <c:pt idx="3">
                        <c:v>-32</c:v>
                      </c:pt>
                      <c:pt idx="4">
                        <c:v>8</c:v>
                      </c:pt>
                      <c:pt idx="5">
                        <c:v>4</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4-4EE5-4126-839A-A313A4190294}"/>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Temperature!$B$23</c15:sqref>
                        </c15:formulaRef>
                      </c:ext>
                    </c:extLst>
                    <c:strCache>
                      <c:ptCount val="1"/>
                      <c:pt idx="0">
                        <c:v>No.1 M/E FO Circulating Pump</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(Temperature!$E$23,Temperature!$H$23,Temperature!$K$23,Temperature!$N$23,Temperature!$Q$23,Temperature!$T$23,Temperature!$W$23,Temperature!$Z$23,Temperature!$AC$23,Temperature!$AF$23,Temperature!$AI$23,Temperature!$AL$23)</c15:sqref>
                        </c15:formulaRef>
                      </c:ext>
                    </c:extLst>
                    <c:numCache>
                      <c:formatCode>0;\-0;;@</c:formatCode>
                      <c:ptCount val="12"/>
                      <c:pt idx="0">
                        <c:v>-25</c:v>
                      </c:pt>
                      <c:pt idx="1">
                        <c:v>6</c:v>
                      </c:pt>
                      <c:pt idx="2">
                        <c:v>11</c:v>
                      </c:pt>
                      <c:pt idx="3">
                        <c:v>16</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5-4EE5-4126-839A-A313A4190294}"/>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Temperature!$B$24</c15:sqref>
                        </c15:formulaRef>
                      </c:ext>
                    </c:extLst>
                    <c:strCache>
                      <c:ptCount val="1"/>
                      <c:pt idx="0">
                        <c:v>No.2 M/E FO Circulating Pump</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(Temperature!$E$24,Temperature!$H$24,Temperature!$K$24,Temperature!$N$24,Temperature!$Q$24,Temperature!$T$24,Temperature!$W$24,Temperature!$Z$24,Temperature!$AC$24,Temperature!$AF$24,Temperature!$AI$24,Temperature!$AL$24)</c15:sqref>
                        </c15:formulaRef>
                      </c:ext>
                    </c:extLst>
                    <c:numCache>
                      <c:formatCode>0;\-0;;@</c:formatCode>
                      <c:ptCount val="12"/>
                      <c:pt idx="0">
                        <c:v>13</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6-4EE5-4126-839A-A313A4190294}"/>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Temperature!$B$25</c15:sqref>
                        </c15:formulaRef>
                      </c:ext>
                    </c:extLst>
                    <c:strCache>
                      <c:ptCount val="1"/>
                      <c:pt idx="0">
                        <c:v>Economiser Feed water Pump</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(Temperature!$E$25,Temperature!$H$25,Temperature!$K$25,Temperature!$N$25,Temperature!$Q$25,Temperature!$T$25,Temperature!$W$25,Temperature!$Z$25,Temperature!$AC$25,Temperature!$AF$25,Temperature!$AI$25,Temperature!$AL$25)</c15:sqref>
                        </c15:formulaRef>
                      </c:ext>
                    </c:extLst>
                    <c:numCache>
                      <c:formatCode>0;\-0;;@</c:formatCode>
                      <c:ptCount val="12"/>
                      <c:pt idx="0">
                        <c:v>-25</c:v>
                      </c:pt>
                      <c:pt idx="1">
                        <c:v>-38</c:v>
                      </c:pt>
                      <c:pt idx="2">
                        <c:v>-28</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7-4EE5-4126-839A-A313A4190294}"/>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Temperature!$B$26</c15:sqref>
                        </c15:formulaRef>
                      </c:ext>
                    </c:extLst>
                    <c:strCache>
                      <c:ptCount val="1"/>
                      <c:pt idx="0">
                        <c:v>STP Blower </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(Temperature!$E$26,Temperature!$H$26,Temperature!$K$26,Temperature!$N$26,Temperature!$Q$26,Temperature!$T$26,Temperature!$W$26,Temperature!$Z$26,Temperature!$AC$26,Temperature!$AF$26,Temperature!$AI$26,Temperature!$AL$26)</c15:sqref>
                        </c15:formulaRef>
                      </c:ext>
                    </c:extLst>
                    <c:numCache>
                      <c:formatCode>0;\-0;;@</c:formatCode>
                      <c:ptCount val="12"/>
                      <c:pt idx="0">
                        <c:v>11</c:v>
                      </c:pt>
                      <c:pt idx="1">
                        <c:v>6</c:v>
                      </c:pt>
                      <c:pt idx="2">
                        <c:v>7</c:v>
                      </c:pt>
                      <c:pt idx="3">
                        <c:v>7</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8-4EE5-4126-839A-A313A4190294}"/>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Temperature!$B$27</c15:sqref>
                        </c15:formulaRef>
                      </c:ext>
                    </c:extLst>
                    <c:strCache>
                      <c:ptCount val="1"/>
                      <c:pt idx="0">
                        <c:v>STP Discharge Pump</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(Temperature!$E$27,Temperature!$H$27,Temperature!$K$27,Temperature!$N$27,Temperature!$Q$27,Temperature!$T$27,Temperature!$W$27,Temperature!$Z$27,Temperature!$AC$27,Temperature!$AF$27,Temperature!$AI$27,Temperature!$AL$27)</c15:sqref>
                        </c15:formulaRef>
                      </c:ext>
                    </c:extLst>
                    <c:numCache>
                      <c:formatCode>0;\-0;;@</c:formatCode>
                      <c:ptCount val="12"/>
                      <c:pt idx="0">
                        <c:v>9</c:v>
                      </c:pt>
                      <c:pt idx="1">
                        <c:v>1</c:v>
                      </c:pt>
                      <c:pt idx="2">
                        <c:v>6</c:v>
                      </c:pt>
                      <c:pt idx="3">
                        <c:v>10</c:v>
                      </c:pt>
                      <c:pt idx="4">
                        <c:v>8</c:v>
                      </c:pt>
                      <c:pt idx="5">
                        <c:v>7</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9-4EE5-4126-839A-A313A4190294}"/>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Temperature!$B$28</c15:sqref>
                        </c15:formulaRef>
                      </c:ext>
                    </c:extLst>
                    <c:strCache>
                      <c:ptCount val="1"/>
                      <c:pt idx="0">
                        <c:v>STP Ejector Pump #1</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(Temperature!$E$28,Temperature!$H$28,Temperature!$K$28,Temperature!$N$28,Temperature!$Q$28,Temperature!$T$28,Temperature!$W$28,Temperature!$Z$28,Temperature!$AC$28,Temperature!$AF$28,Temperature!$AI$28,Temperature!$AL$28)</c15:sqref>
                        </c15:formulaRef>
                      </c:ext>
                    </c:extLst>
                    <c:numCache>
                      <c:formatCode>0;\-0;;@</c:formatCode>
                      <c:ptCount val="12"/>
                      <c:pt idx="0">
                        <c:v>11</c:v>
                      </c:pt>
                      <c:pt idx="1">
                        <c:v>-38</c:v>
                      </c:pt>
                      <c:pt idx="2">
                        <c:v>5</c:v>
                      </c:pt>
                      <c:pt idx="3">
                        <c:v>9</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A-4EE5-4126-839A-A313A4190294}"/>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Temperature!$B$29</c15:sqref>
                        </c15:formulaRef>
                      </c:ext>
                    </c:extLst>
                    <c:strCache>
                      <c:ptCount val="1"/>
                      <c:pt idx="0">
                        <c:v>STP Ejector Pump #2</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(Temperature!$E$29,Temperature!$H$29,Temperature!$K$29,Temperature!$N$29,Temperature!$Q$29,Temperature!$T$29,Temperature!$W$29,Temperature!$Z$29,Temperature!$AC$29,Temperature!$AF$29,Temperature!$AI$29,Temperature!$AL$29)</c15:sqref>
                        </c15:formulaRef>
                      </c:ext>
                    </c:extLst>
                    <c:numCache>
                      <c:formatCode>0;\-0;;@</c:formatCode>
                      <c:ptCount val="12"/>
                      <c:pt idx="0">
                        <c:v>-25</c:v>
                      </c:pt>
                      <c:pt idx="1">
                        <c:v>4</c:v>
                      </c:pt>
                      <c:pt idx="2">
                        <c:v>5</c:v>
                      </c:pt>
                      <c:pt idx="3">
                        <c:v>10</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B-4EE5-4126-839A-A313A4190294}"/>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Temperature!$B$30</c15:sqref>
                        </c15:formulaRef>
                      </c:ext>
                    </c:extLst>
                    <c:strCache>
                      <c:ptCount val="1"/>
                      <c:pt idx="0">
                        <c:v>No.1 Main LO Pump </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(Temperature!$E$30,Temperature!$H$30,Temperature!$K$30,Temperature!$N$30,Temperature!$Q$30,Temperature!$T$30,Temperature!$W$30,Temperature!$Z$30,Temperature!$AC$30,Temperature!$AF$30,Temperature!$AI$30,Temperature!$AL$30)</c15:sqref>
                        </c15:formulaRef>
                      </c:ext>
                    </c:extLst>
                    <c:numCache>
                      <c:formatCode>0;\-0;;@</c:formatCode>
                      <c:ptCount val="12"/>
                      <c:pt idx="0">
                        <c:v>-25</c:v>
                      </c:pt>
                      <c:pt idx="1">
                        <c:v>6</c:v>
                      </c:pt>
                      <c:pt idx="2">
                        <c:v>-28</c:v>
                      </c:pt>
                      <c:pt idx="3">
                        <c:v>11</c:v>
                      </c:pt>
                      <c:pt idx="4">
                        <c:v>-28</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C-4EE5-4126-839A-A313A4190294}"/>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Temperature!$B$31</c15:sqref>
                        </c15:formulaRef>
                      </c:ext>
                    </c:extLst>
                    <c:strCache>
                      <c:ptCount val="1"/>
                      <c:pt idx="0">
                        <c:v>No.2 Main LO Pump </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(Temperature!$E$31,Temperature!$H$31,Temperature!$K$31,Temperature!$N$31,Temperature!$Q$31,Temperature!$T$31,Temperature!$W$31,Temperature!$Z$31,Temperature!$AC$31,Temperature!$AF$31,Temperature!$AI$31,Temperature!$AL$31)</c15:sqref>
                        </c15:formulaRef>
                      </c:ext>
                    </c:extLst>
                    <c:numCache>
                      <c:formatCode>0;\-0;;@</c:formatCode>
                      <c:ptCount val="12"/>
                      <c:pt idx="0">
                        <c:v>11</c:v>
                      </c:pt>
                      <c:pt idx="1">
                        <c:v>-38</c:v>
                      </c:pt>
                      <c:pt idx="2">
                        <c:v>9</c:v>
                      </c:pt>
                      <c:pt idx="3">
                        <c:v>-32</c:v>
                      </c:pt>
                      <c:pt idx="4">
                        <c:v>12</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D-4EE5-4126-839A-A313A4190294}"/>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Temperature!$B$32</c15:sqref>
                        </c15:formulaRef>
                      </c:ext>
                    </c:extLst>
                    <c:strCache>
                      <c:ptCount val="1"/>
                      <c:pt idx="0">
                        <c:v>No.1 Steering Gear</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(Temperature!$E$32,Temperature!$H$32,Temperature!$K$32,Temperature!$N$32,Temperature!$Q$32,Temperature!$T$32,Temperature!$W$32,Temperature!$Z$32,Temperature!$AC$32,Temperature!$AF$32,Temperature!$AI$32,Temperature!$AL$32)</c15:sqref>
                        </c15:formulaRef>
                      </c:ext>
                    </c:extLst>
                    <c:numCache>
                      <c:formatCode>0;\-0;;@</c:formatCode>
                      <c:ptCount val="12"/>
                      <c:pt idx="0">
                        <c:v>11</c:v>
                      </c:pt>
                      <c:pt idx="1">
                        <c:v>4</c:v>
                      </c:pt>
                      <c:pt idx="2">
                        <c:v>10</c:v>
                      </c:pt>
                      <c:pt idx="3">
                        <c:v>10</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E-4EE5-4126-839A-A313A4190294}"/>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Temperature!$B$33</c15:sqref>
                        </c15:formulaRef>
                      </c:ext>
                    </c:extLst>
                    <c:strCache>
                      <c:ptCount val="1"/>
                      <c:pt idx="0">
                        <c:v>No.2 Steering Gear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(Temperature!$E$33,Temperature!$H$33,Temperature!$K$33,Temperature!$N$33,Temperature!$Q$33,Temperature!$T$33,Temperature!$W$33,Temperature!$Z$33,Temperature!$AC$33,Temperature!$AF$33,Temperature!$AI$33,Temperature!$AL$33)</c15:sqref>
                        </c15:formulaRef>
                      </c:ext>
                    </c:extLst>
                    <c:numCache>
                      <c:formatCode>0;\-0;;@</c:formatCode>
                      <c:ptCount val="12"/>
                      <c:pt idx="0">
                        <c:v>12</c:v>
                      </c:pt>
                      <c:pt idx="1">
                        <c:v>4</c:v>
                      </c:pt>
                      <c:pt idx="2">
                        <c:v>10</c:v>
                      </c:pt>
                      <c:pt idx="3">
                        <c:v>11</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20-4EE5-4126-839A-A313A4190294}"/>
                  </c:ext>
                </c:extLst>
              </c15:ser>
            </c15:filteredLineSeries>
          </c:ext>
        </c:extLst>
      </c:lineChart>
      <c:catAx>
        <c:axId val="73747456"/>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18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3765248"/>
        <c:crosses val="autoZero"/>
        <c:auto val="1"/>
        <c:lblAlgn val="ctr"/>
        <c:lblOffset val="100"/>
        <c:noMultiLvlLbl val="0"/>
      </c:catAx>
      <c:valAx>
        <c:axId val="737652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3747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SG" sz="2000" b="1"/>
              <a:t>Main</a:t>
            </a:r>
            <a:r>
              <a:rPr lang="en-SG" sz="2000" b="1" baseline="0"/>
              <a:t> Air Compressor-Diff from E/R Temp</a:t>
            </a:r>
            <a:endParaRPr lang="en-SG" sz="2000" b="1"/>
          </a:p>
        </c:rich>
      </c:tx>
      <c:overlay val="0"/>
      <c:spPr>
        <a:noFill/>
        <a:ln>
          <a:noFill/>
        </a:ln>
        <a:effectLst/>
      </c:spPr>
    </c:title>
    <c:autoTitleDeleted val="0"/>
    <c:plotArea>
      <c:layout>
        <c:manualLayout>
          <c:layoutTarget val="inner"/>
          <c:xMode val="edge"/>
          <c:yMode val="edge"/>
          <c:x val="2.6217571037680958E-2"/>
          <c:y val="9.1239657494952914E-2"/>
          <c:w val="0.9667262001249286"/>
          <c:h val="0.67534297747665262"/>
        </c:manualLayout>
      </c:layout>
      <c:lineChart>
        <c:grouping val="standard"/>
        <c:varyColors val="0"/>
        <c:ser>
          <c:idx val="1"/>
          <c:order val="1"/>
          <c:tx>
            <c:strRef>
              <c:f>Temperature!$B$7</c:f>
              <c:strCache>
                <c:ptCount val="1"/>
                <c:pt idx="0">
                  <c:v>No.1 Main Air Compressor</c:v>
                </c:pt>
              </c:strCache>
              <c:extLst xmlns:c15="http://schemas.microsoft.com/office/drawing/2012/chart"/>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(Temperature!$E$7,Temperature!$H$7,Temperature!$K$7,Temperature!$N$7,Temperature!$Q$7,Temperature!$T$7,Temperature!$W$7,Temperature!$Z$7,Temperature!$AC$7,Temperature!$AF$7,Temperature!$AI$7,Temperature!$AL$7)</c:f>
              <c:numCache>
                <c:formatCode>0;\-0;;@</c:formatCode>
                <c:ptCount val="12"/>
                <c:pt idx="0">
                  <c:v>13</c:v>
                </c:pt>
                <c:pt idx="1">
                  <c:v>6</c:v>
                </c:pt>
                <c:pt idx="2">
                  <c:v>9</c:v>
                </c:pt>
                <c:pt idx="3">
                  <c:v>11</c:v>
                </c:pt>
                <c:pt idx="4">
                  <c:v>14</c:v>
                </c:pt>
                <c:pt idx="5">
                  <c:v>12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04-C325-4597-9043-57EBDFC6F1FD}"/>
            </c:ext>
          </c:extLst>
        </c:ser>
        <c:ser>
          <c:idx val="2"/>
          <c:order val="2"/>
          <c:tx>
            <c:strRef>
              <c:f>Temperature!$B$8</c:f>
              <c:strCache>
                <c:ptCount val="1"/>
                <c:pt idx="0">
                  <c:v>No.2 Main Air Compressor</c:v>
                </c:pt>
              </c:strCache>
              <c:extLst xmlns:c15="http://schemas.microsoft.com/office/drawing/2012/chart"/>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(Temperature!$E$8,Temperature!$H$8,Temperature!$K$8,Temperature!$N$8,Temperature!$Q$8,Temperature!$T$8,Temperature!$W$8,Temperature!$Z$8,Temperature!$AC$8,Temperature!$AF$8,Temperature!$AI$8,Temperature!$AL$8)</c:f>
              <c:numCache>
                <c:formatCode>0;\-0;;@</c:formatCode>
                <c:ptCount val="12"/>
                <c:pt idx="0">
                  <c:v>11</c:v>
                </c:pt>
                <c:pt idx="1">
                  <c:v>6</c:v>
                </c:pt>
                <c:pt idx="2">
                  <c:v>10</c:v>
                </c:pt>
                <c:pt idx="3">
                  <c:v>12</c:v>
                </c:pt>
                <c:pt idx="4">
                  <c:v>12</c:v>
                </c:pt>
                <c:pt idx="5">
                  <c:v>12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05-C325-4597-9043-57EBDFC6F1FD}"/>
            </c:ext>
          </c:extLst>
        </c:ser>
        <c:ser>
          <c:idx val="9"/>
          <c:order val="9"/>
          <c:tx>
            <c:strRef>
              <c:f>Temperature!#REF!</c:f>
              <c:strCache>
                <c:ptCount val="1"/>
                <c:pt idx="0">
                  <c:v>#REF!</c:v>
                </c:pt>
              </c:strCache>
              <c:extLst xmlns:c15="http://schemas.microsoft.com/office/drawing/2012/chart"/>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9-C325-4597-9043-57EBDFC6F1FD}"/>
            </c:ext>
          </c:extLst>
        </c:ser>
        <c:ser>
          <c:idx val="10"/>
          <c:order val="10"/>
          <c:tx>
            <c:strRef>
              <c:f>Temperature!#REF!</c:f>
              <c:strCache>
                <c:ptCount val="1"/>
                <c:pt idx="0">
                  <c:v>#REF!</c:v>
                </c:pt>
              </c:strCache>
              <c:extLst xmlns:c15="http://schemas.microsoft.com/office/drawing/2012/chart"/>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A-C325-4597-9043-57EBDFC6F1FD}"/>
            </c:ext>
          </c:extLst>
        </c:ser>
        <c:ser>
          <c:idx val="11"/>
          <c:order val="11"/>
          <c:tx>
            <c:strRef>
              <c:f>Temperature!#REF!</c:f>
              <c:strCache>
                <c:ptCount val="1"/>
                <c:pt idx="0">
                  <c:v>#REF!</c:v>
                </c:pt>
              </c:strCache>
              <c:extLst xmlns:c15="http://schemas.microsoft.com/office/drawing/2012/chart"/>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B-C325-4597-9043-57EBDFC6F1FD}"/>
            </c:ext>
          </c:extLst>
        </c:ser>
        <c:ser>
          <c:idx val="12"/>
          <c:order val="12"/>
          <c:tx>
            <c:strRef>
              <c:f>Temperature!#REF!</c:f>
              <c:strCache>
                <c:ptCount val="1"/>
                <c:pt idx="0">
                  <c:v>#REF!</c:v>
                </c:pt>
              </c:strCache>
              <c:extLst xmlns:c15="http://schemas.microsoft.com/office/drawing/2012/chart"/>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C-C325-4597-9043-57EBDFC6F1FD}"/>
            </c:ext>
          </c:extLst>
        </c:ser>
        <c:dLbls>
          <c:showLegendKey val="0"/>
          <c:showVal val="0"/>
          <c:showCatName val="0"/>
          <c:showSerName val="0"/>
          <c:showPercent val="0"/>
          <c:showBubbleSize val="0"/>
        </c:dLbls>
        <c:marker val="1"/>
        <c:smooth val="0"/>
        <c:axId val="39536512"/>
        <c:axId val="39537664"/>
        <c:extLst>
          <c:ext xmlns:c15="http://schemas.microsoft.com/office/drawing/2012/chart" uri="{02D57815-91ED-43cb-92C2-25804820EDAC}">
            <c15:filteredLineSeries>
              <c15:ser>
                <c:idx val="0"/>
                <c:order val="0"/>
                <c:tx>
                  <c:strRef>
                    <c:extLst>
                      <c:ext uri="{02D57815-91ED-43cb-92C2-25804820EDAC}">
                        <c15:formulaRef>
                          <c15:sqref>Temperature!$B$6</c15:sqref>
                        </c15:formulaRef>
                      </c:ext>
                    </c:extLst>
                    <c:strCache>
                      <c:ptCount val="1"/>
                      <c:pt idx="0">
                        <c:v>E/R Temperature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extLst>
                      <c:ex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c:ext uri="{02D57815-91ED-43cb-92C2-25804820EDAC}">
                        <c15:formulaRef>
                          <c15:sqref>(Temperature!$E$6,Temperature!$H$6,Temperature!$K$6,Temperature!$N$6,Temperature!$Q$6,Temperature!$T$6,Temperature!$W$6,Temperature!$Z$6,Temperature!$AC$6,Temperature!$AF$6,Temperature!$AI$6,Temperature!$AL$6)</c15:sqref>
                        </c15:formulaRef>
                      </c:ext>
                    </c:extLst>
                    <c:numCache>
                      <c:formatCode>0;\-0;;@</c:formatCode>
                      <c:ptCount val="12"/>
                    </c:numCache>
                  </c:numRef>
                </c:val>
                <c:smooth val="0"/>
                <c:extLst>
                  <c:ext xmlns:c16="http://schemas.microsoft.com/office/drawing/2014/chart" uri="{C3380CC4-5D6E-409C-BE32-E72D297353CC}">
                    <c16:uniqueId val="{00000003-C325-4597-9043-57EBDFC6F1FD}"/>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Temperature!$B$9</c15:sqref>
                        </c15:formulaRef>
                      </c:ext>
                    </c:extLst>
                    <c:strCache>
                      <c:ptCount val="1"/>
                      <c:pt idx="0">
                        <c:v>No.1 Main Cooling S.W. Pump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(Temperature!$E$9,Temperature!$H$9,Temperature!$K$9,Temperature!$N$9,Temperature!$Q$9,Temperature!$T$9,Temperature!$W$9,Temperature!$Z$9,Temperature!$AC$9,Temperature!$AF$9,Temperature!$AI$9,Temperature!$AL$9)</c15:sqref>
                        </c15:formulaRef>
                      </c:ext>
                    </c:extLst>
                    <c:numCache>
                      <c:formatCode>0;\-0;;@</c:formatCode>
                      <c:ptCount val="12"/>
                      <c:pt idx="0">
                        <c:v>10</c:v>
                      </c:pt>
                      <c:pt idx="1">
                        <c:v>-38</c:v>
                      </c:pt>
                      <c:pt idx="2">
                        <c:v>11</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0-C325-4597-9043-57EBDFC6F1FD}"/>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Temperature!$B$10</c15:sqref>
                        </c15:formulaRef>
                      </c:ext>
                    </c:extLst>
                    <c:strCache>
                      <c:ptCount val="1"/>
                      <c:pt idx="0">
                        <c:v>No.2 Main Cooling S.W. Pump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(Temperature!$E$10,Temperature!$H$10,Temperature!$K$10,Temperature!$N$10,Temperature!$Q$10,Temperature!$T$10,Temperature!$W$10,Temperature!$Z$10,Temperature!$AC$10,Temperature!$AF$10,Temperature!$AI$10,Temperature!$AL$10)</c15:sqref>
                        </c15:formulaRef>
                      </c:ext>
                    </c:extLst>
                    <c:numCache>
                      <c:formatCode>0;\-0;;@</c:formatCode>
                      <c:ptCount val="12"/>
                      <c:pt idx="0">
                        <c:v>-25</c:v>
                      </c:pt>
                      <c:pt idx="1">
                        <c:v>4</c:v>
                      </c:pt>
                      <c:pt idx="2">
                        <c:v>-28</c:v>
                      </c:pt>
                      <c:pt idx="3">
                        <c:v>-32</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1-C325-4597-9043-57EBDFC6F1FD}"/>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Temperature!$B$11</c15:sqref>
                        </c15:formulaRef>
                      </c:ext>
                    </c:extLst>
                    <c:strCache>
                      <c:ptCount val="1"/>
                      <c:pt idx="0">
                        <c:v>No.3 Main Cooling S.W. Pump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(Temperature!$E$11,Temperature!$H$11,Temperature!$K$11,Temperature!$N$11,Temperature!$Q$11,Temperature!$T$11,Temperature!$W$11,Temperature!$Z$11,Temperature!$AC$11,Temperature!$AF$11,Temperature!$AI$11,Temperature!$AL$11)</c15:sqref>
                        </c15:formulaRef>
                      </c:ext>
                    </c:extLst>
                    <c:numCache>
                      <c:formatCode>0;\-0;;@</c:formatCode>
                      <c:ptCount val="12"/>
                      <c:pt idx="0">
                        <c:v>-25</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2-C325-4597-9043-57EBDFC6F1FD}"/>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Temperature!$B$12</c15:sqref>
                        </c15:formulaRef>
                      </c:ext>
                    </c:extLst>
                    <c:strCache>
                      <c:ptCount val="1"/>
                      <c:pt idx="0">
                        <c:v>FWG Ejector pump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(Temperature!$E$12,Temperature!$H$12,Temperature!$K$12,Temperature!$N$12,Temperature!$Q$12,Temperature!$T$12,Temperature!$W$12,Temperature!$Z$12,Temperature!$AC$12,Temperature!$AF$12,Temperature!$AI$12,Temperature!$AL$12)</c15:sqref>
                        </c15:formulaRef>
                      </c:ext>
                    </c:extLst>
                    <c:numCache>
                      <c:formatCode>0;\-0;;@</c:formatCode>
                      <c:ptCount val="12"/>
                      <c:pt idx="0">
                        <c:v>11</c:v>
                      </c:pt>
                      <c:pt idx="1">
                        <c:v>2</c:v>
                      </c:pt>
                      <c:pt idx="2">
                        <c:v>9</c:v>
                      </c:pt>
                      <c:pt idx="3">
                        <c:v>11</c:v>
                      </c:pt>
                      <c:pt idx="4">
                        <c:v>16</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C325-4597-9043-57EBDFC6F1FD}"/>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Temperature!$B$13</c15:sqref>
                        </c15:formulaRef>
                      </c:ext>
                    </c:extLst>
                    <c:strCache>
                      <c:ptCount val="1"/>
                      <c:pt idx="0">
                        <c:v>No.1 IGG Blower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(Temperature!$E$13,Temperature!$H$13,Temperature!$K$13,Temperature!$N$13,Temperature!$Q$13,Temperature!$T$13,Temperature!$W$13,Temperature!$Z$13,Temperature!$AC$13,Temperature!$AF$13,Temperature!$AI$13,Temperature!$AL$13)</c15:sqref>
                        </c15:formulaRef>
                      </c:ext>
                    </c:extLst>
                    <c:numCache>
                      <c:formatCode>0;\-0;;@</c:formatCode>
                      <c:ptCount val="12"/>
                      <c:pt idx="0">
                        <c:v>-25</c:v>
                      </c:pt>
                      <c:pt idx="1">
                        <c:v>4</c:v>
                      </c:pt>
                      <c:pt idx="2">
                        <c:v>-28</c:v>
                      </c:pt>
                      <c:pt idx="3">
                        <c:v>9</c:v>
                      </c:pt>
                      <c:pt idx="4">
                        <c:v>-28</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7-C325-4597-9043-57EBDFC6F1FD}"/>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Temperature!$B$14</c15:sqref>
                        </c15:formulaRef>
                      </c:ext>
                    </c:extLst>
                    <c:strCache>
                      <c:ptCount val="1"/>
                      <c:pt idx="0">
                        <c:v>No.2 IGG Blower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(Temperature!$E$14,Temperature!$H$14,Temperature!$K$14,Temperature!$N$14,Temperature!$Q$14,Temperature!$T$14,Temperature!$W$14,Temperature!$Z$14,Temperature!$AC$14,Temperature!$AF$14,Temperature!$AI$14,Temperature!$AL$14)</c15:sqref>
                        </c15:formulaRef>
                      </c:ext>
                    </c:extLst>
                    <c:numCache>
                      <c:formatCode>0;\-0;;@</c:formatCode>
                      <c:ptCount val="12"/>
                      <c:pt idx="0">
                        <c:v>8</c:v>
                      </c:pt>
                      <c:pt idx="1">
                        <c:v>-38</c:v>
                      </c:pt>
                      <c:pt idx="2">
                        <c:v>9</c:v>
                      </c:pt>
                      <c:pt idx="3">
                        <c:v>13</c:v>
                      </c:pt>
                      <c:pt idx="4">
                        <c:v>14</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8-C325-4597-9043-57EBDFC6F1FD}"/>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Temperature!$B$15</c15:sqref>
                        </c15:formulaRef>
                      </c:ext>
                    </c:extLst>
                    <c:strCache>
                      <c:ptCount val="1"/>
                      <c:pt idx="0">
                        <c:v>Incinerator Flue Gas Fan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(Temperature!$E$15,Temperature!$H$15,Temperature!$K$15,Temperature!$N$15,Temperature!$Q$15,Temperature!$T$15,Temperature!$W$15,Temperature!$Z$15,Temperature!$AC$15,Temperature!$AF$15,Temperature!$AI$15,Temperature!$AL$15)</c15:sqref>
                        </c15:formulaRef>
                      </c:ext>
                    </c:extLst>
                    <c:numCache>
                      <c:formatCode>0;\-0;;@</c:formatCode>
                      <c:ptCount val="12"/>
                      <c:pt idx="0">
                        <c:v>9</c:v>
                      </c:pt>
                      <c:pt idx="1">
                        <c:v>4</c:v>
                      </c:pt>
                      <c:pt idx="2">
                        <c:v>8</c:v>
                      </c:pt>
                      <c:pt idx="3">
                        <c:v>9</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D-C325-4597-9043-57EBDFC6F1FD}"/>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Temperature!$B$16</c15:sqref>
                        </c15:formulaRef>
                      </c:ext>
                    </c:extLst>
                    <c:strCache>
                      <c:ptCount val="1"/>
                      <c:pt idx="0">
                        <c:v>Incinerator Blower Motor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(Temperature!$E$16,Temperature!$H$16,Temperature!$K$16,Temperature!$N$16,Temperature!$Q$16,Temperature!$T$16,Temperature!$W$16,Temperature!$Z$16,Temperature!$AC$16,Temperature!$AF$16,Temperature!$AI$16,Temperature!$AL$16)</c15:sqref>
                        </c15:formulaRef>
                      </c:ext>
                    </c:extLst>
                    <c:numCache>
                      <c:formatCode>0;\-0;;@</c:formatCode>
                      <c:ptCount val="12"/>
                      <c:pt idx="0">
                        <c:v>10</c:v>
                      </c:pt>
                      <c:pt idx="1">
                        <c:v>0</c:v>
                      </c:pt>
                      <c:pt idx="2">
                        <c:v>7</c:v>
                      </c:pt>
                      <c:pt idx="3">
                        <c:v>10</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E-C325-4597-9043-57EBDFC6F1FD}"/>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Temperature!$B$17</c15:sqref>
                        </c15:formulaRef>
                      </c:ext>
                    </c:extLst>
                    <c:strCache>
                      <c:ptCount val="1"/>
                      <c:pt idx="0">
                        <c:v>No.1 Deck Seal Pump</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(Temperature!$E$17,Temperature!$H$17,Temperature!$K$17,Temperature!$N$17,Temperature!$Q$17,Temperature!$T$17,Temperature!$W$17,Temperature!$Z$17,Temperature!$AC$17,Temperature!$AF$17,Temperature!$AI$17,Temperature!$AL$17)</c15:sqref>
                        </c15:formulaRef>
                      </c:ext>
                    </c:extLst>
                    <c:numCache>
                      <c:formatCode>0;\-0;;@</c:formatCode>
                      <c:ptCount val="12"/>
                      <c:pt idx="0">
                        <c:v>7</c:v>
                      </c:pt>
                      <c:pt idx="1">
                        <c:v>-38</c:v>
                      </c:pt>
                      <c:pt idx="2">
                        <c:v>8</c:v>
                      </c:pt>
                      <c:pt idx="3">
                        <c:v>8</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F-C325-4597-9043-57EBDFC6F1FD}"/>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Temperature!$B$18</c15:sqref>
                        </c15:formulaRef>
                      </c:ext>
                    </c:extLst>
                    <c:strCache>
                      <c:ptCount val="1"/>
                      <c:pt idx="0">
                        <c:v>No.2 Deck Seal Pump</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(Temperature!$E$18,Temperature!$H$18,Temperature!$K$18,Temperature!$N$18,Temperature!$Q$18,Temperature!$T$18,Temperature!$W$18,Temperature!$Z$18,Temperature!$AC$18,Temperature!$AF$18,Temperature!$AI$18,Temperature!$AL$18)</c15:sqref>
                        </c15:formulaRef>
                      </c:ext>
                    </c:extLst>
                    <c:numCache>
                      <c:formatCode>0;\-0;;@</c:formatCode>
                      <c:ptCount val="12"/>
                      <c:pt idx="0">
                        <c:v>-25</c:v>
                      </c:pt>
                      <c:pt idx="1">
                        <c:v>-1</c:v>
                      </c:pt>
                      <c:pt idx="2">
                        <c:v>-28</c:v>
                      </c:pt>
                      <c:pt idx="3">
                        <c:v>-32</c:v>
                      </c:pt>
                      <c:pt idx="4">
                        <c:v>10</c:v>
                      </c:pt>
                      <c:pt idx="5">
                        <c:v>5</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0-C325-4597-9043-57EBDFC6F1FD}"/>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Temperature!$B$19</c15:sqref>
                        </c15:formulaRef>
                      </c:ext>
                    </c:extLst>
                    <c:strCache>
                      <c:ptCount val="1"/>
                      <c:pt idx="0">
                        <c:v>IGG Scrubber Pump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(Temperature!$E$19,Temperature!$H$19,Temperature!$K$19,Temperature!$N$19,Temperature!$Q$19,Temperature!$T$19,Temperature!$W$19,Temperature!$Z$19,Temperature!$AC$19,Temperature!$AF$19,Temperature!$AI$19,Temperature!$AL$19)</c15:sqref>
                        </c15:formulaRef>
                      </c:ext>
                    </c:extLst>
                    <c:numCache>
                      <c:formatCode>0;\-0;;@</c:formatCode>
                      <c:ptCount val="12"/>
                      <c:pt idx="0">
                        <c:v>13</c:v>
                      </c:pt>
                      <c:pt idx="1">
                        <c:v>2</c:v>
                      </c:pt>
                      <c:pt idx="2">
                        <c:v>10</c:v>
                      </c:pt>
                      <c:pt idx="3">
                        <c:v>12</c:v>
                      </c:pt>
                      <c:pt idx="4">
                        <c:v>12</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1-C325-4597-9043-57EBDFC6F1FD}"/>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Temperature!$B$20</c15:sqref>
                        </c15:formulaRef>
                      </c:ext>
                    </c:extLst>
                    <c:strCache>
                      <c:ptCount val="1"/>
                      <c:pt idx="0">
                        <c:v>No.1 G/E L.O. Priming Pump</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(Temperature!$E$20,Temperature!$H$20,Temperature!$K$20,Temperature!$N$20,Temperature!$Q$20,Temperature!$T$20,Temperature!$W$20,Temperature!$Z$20,Temperature!$AC$20,Temperature!$AF$20,Temperature!$AI$20,Temperature!$AL$20)</c15:sqref>
                        </c15:formulaRef>
                      </c:ext>
                    </c:extLst>
                    <c:numCache>
                      <c:formatCode>0;\-0;;@</c:formatCode>
                      <c:ptCount val="12"/>
                      <c:pt idx="0">
                        <c:v>12</c:v>
                      </c:pt>
                      <c:pt idx="1">
                        <c:v>0</c:v>
                      </c:pt>
                      <c:pt idx="2">
                        <c:v>8</c:v>
                      </c:pt>
                      <c:pt idx="3">
                        <c:v>10</c:v>
                      </c:pt>
                      <c:pt idx="4">
                        <c:v>10</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2-C325-4597-9043-57EBDFC6F1FD}"/>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Temperature!$B$21</c15:sqref>
                        </c15:formulaRef>
                      </c:ext>
                    </c:extLst>
                    <c:strCache>
                      <c:ptCount val="1"/>
                      <c:pt idx="0">
                        <c:v>No.2 G/E L.O. Priming Pump</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(Temperature!$E$21,Temperature!$H$21,Temperature!$K$21,Temperature!$N$21,Temperature!$Q$21,Temperature!$T$21,Temperature!$W$21,Temperature!$Z$21,Temperature!$AC$21,Temperature!$AF$21,Temperature!$AI$21,Temperature!$AL$21)</c15:sqref>
                        </c15:formulaRef>
                      </c:ext>
                    </c:extLst>
                    <c:numCache>
                      <c:formatCode>0;\-0;;@</c:formatCode>
                      <c:ptCount val="12"/>
                      <c:pt idx="0">
                        <c:v>11</c:v>
                      </c:pt>
                      <c:pt idx="1">
                        <c:v>0</c:v>
                      </c:pt>
                      <c:pt idx="2">
                        <c:v>9</c:v>
                      </c:pt>
                      <c:pt idx="3">
                        <c:v>9</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3-C325-4597-9043-57EBDFC6F1FD}"/>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Temperature!$B$22</c15:sqref>
                        </c15:formulaRef>
                      </c:ext>
                    </c:extLst>
                    <c:strCache>
                      <c:ptCount val="1"/>
                      <c:pt idx="0">
                        <c:v>No.3 G/E L.O. Priming Pump</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(Temperature!$E$22,Temperature!$H$22,Temperature!$K$22,Temperature!$N$22,Temperature!$Q$22,Temperature!$T$22,Temperature!$W$22,Temperature!$Z$22,Temperature!$AC$22,Temperature!$AF$22,Temperature!$AI$22,Temperature!$AL$22)</c15:sqref>
                        </c15:formulaRef>
                      </c:ext>
                    </c:extLst>
                    <c:numCache>
                      <c:formatCode>0;\-0;;@</c:formatCode>
                      <c:ptCount val="12"/>
                      <c:pt idx="0">
                        <c:v>10</c:v>
                      </c:pt>
                      <c:pt idx="1">
                        <c:v>-2</c:v>
                      </c:pt>
                      <c:pt idx="2">
                        <c:v>8</c:v>
                      </c:pt>
                      <c:pt idx="3">
                        <c:v>-32</c:v>
                      </c:pt>
                      <c:pt idx="4">
                        <c:v>8</c:v>
                      </c:pt>
                      <c:pt idx="5">
                        <c:v>4</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4-C325-4597-9043-57EBDFC6F1FD}"/>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Temperature!$B$23</c15:sqref>
                        </c15:formulaRef>
                      </c:ext>
                    </c:extLst>
                    <c:strCache>
                      <c:ptCount val="1"/>
                      <c:pt idx="0">
                        <c:v>No.1 M/E FO Circulating Pump</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(Temperature!$E$23,Temperature!$H$23,Temperature!$K$23,Temperature!$N$23,Temperature!$Q$23,Temperature!$T$23,Temperature!$W$23,Temperature!$Z$23,Temperature!$AC$23,Temperature!$AF$23,Temperature!$AI$23,Temperature!$AL$23)</c15:sqref>
                        </c15:formulaRef>
                      </c:ext>
                    </c:extLst>
                    <c:numCache>
                      <c:formatCode>0;\-0;;@</c:formatCode>
                      <c:ptCount val="12"/>
                      <c:pt idx="0">
                        <c:v>-25</c:v>
                      </c:pt>
                      <c:pt idx="1">
                        <c:v>6</c:v>
                      </c:pt>
                      <c:pt idx="2">
                        <c:v>11</c:v>
                      </c:pt>
                      <c:pt idx="3">
                        <c:v>16</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5-C325-4597-9043-57EBDFC6F1FD}"/>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Temperature!$B$24</c15:sqref>
                        </c15:formulaRef>
                      </c:ext>
                    </c:extLst>
                    <c:strCache>
                      <c:ptCount val="1"/>
                      <c:pt idx="0">
                        <c:v>No.2 M/E FO Circulating Pump</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(Temperature!$E$24,Temperature!$H$24,Temperature!$K$24,Temperature!$N$24,Temperature!$Q$24,Temperature!$T$24,Temperature!$W$24,Temperature!$Z$24,Temperature!$AC$24,Temperature!$AF$24,Temperature!$AI$24,Temperature!$AL$24)</c15:sqref>
                        </c15:formulaRef>
                      </c:ext>
                    </c:extLst>
                    <c:numCache>
                      <c:formatCode>0;\-0;;@</c:formatCode>
                      <c:ptCount val="12"/>
                      <c:pt idx="0">
                        <c:v>13</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6-C325-4597-9043-57EBDFC6F1FD}"/>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Temperature!$B$25</c15:sqref>
                        </c15:formulaRef>
                      </c:ext>
                    </c:extLst>
                    <c:strCache>
                      <c:ptCount val="1"/>
                      <c:pt idx="0">
                        <c:v>Economiser Feed water Pump</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(Temperature!$E$25,Temperature!$H$25,Temperature!$K$25,Temperature!$N$25,Temperature!$Q$25,Temperature!$T$25,Temperature!$W$25,Temperature!$Z$25,Temperature!$AC$25,Temperature!$AF$25,Temperature!$AI$25,Temperature!$AL$25)</c15:sqref>
                        </c15:formulaRef>
                      </c:ext>
                    </c:extLst>
                    <c:numCache>
                      <c:formatCode>0;\-0;;@</c:formatCode>
                      <c:ptCount val="12"/>
                      <c:pt idx="0">
                        <c:v>-25</c:v>
                      </c:pt>
                      <c:pt idx="1">
                        <c:v>-38</c:v>
                      </c:pt>
                      <c:pt idx="2">
                        <c:v>-28</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7-C325-4597-9043-57EBDFC6F1FD}"/>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Temperature!$B$26</c15:sqref>
                        </c15:formulaRef>
                      </c:ext>
                    </c:extLst>
                    <c:strCache>
                      <c:ptCount val="1"/>
                      <c:pt idx="0">
                        <c:v>STP Blower </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(Temperature!$E$26,Temperature!$H$26,Temperature!$K$26,Temperature!$N$26,Temperature!$Q$26,Temperature!$T$26,Temperature!$W$26,Temperature!$Z$26,Temperature!$AC$26,Temperature!$AF$26,Temperature!$AI$26,Temperature!$AL$26)</c15:sqref>
                        </c15:formulaRef>
                      </c:ext>
                    </c:extLst>
                    <c:numCache>
                      <c:formatCode>0;\-0;;@</c:formatCode>
                      <c:ptCount val="12"/>
                      <c:pt idx="0">
                        <c:v>11</c:v>
                      </c:pt>
                      <c:pt idx="1">
                        <c:v>6</c:v>
                      </c:pt>
                      <c:pt idx="2">
                        <c:v>7</c:v>
                      </c:pt>
                      <c:pt idx="3">
                        <c:v>7</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8-C325-4597-9043-57EBDFC6F1FD}"/>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Temperature!$B$27</c15:sqref>
                        </c15:formulaRef>
                      </c:ext>
                    </c:extLst>
                    <c:strCache>
                      <c:ptCount val="1"/>
                      <c:pt idx="0">
                        <c:v>STP Discharge Pump</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(Temperature!$E$27,Temperature!$H$27,Temperature!$K$27,Temperature!$N$27,Temperature!$Q$27,Temperature!$T$27,Temperature!$W$27,Temperature!$Z$27,Temperature!$AC$27,Temperature!$AF$27,Temperature!$AI$27,Temperature!$AL$27)</c15:sqref>
                        </c15:formulaRef>
                      </c:ext>
                    </c:extLst>
                    <c:numCache>
                      <c:formatCode>0;\-0;;@</c:formatCode>
                      <c:ptCount val="12"/>
                      <c:pt idx="0">
                        <c:v>9</c:v>
                      </c:pt>
                      <c:pt idx="1">
                        <c:v>1</c:v>
                      </c:pt>
                      <c:pt idx="2">
                        <c:v>6</c:v>
                      </c:pt>
                      <c:pt idx="3">
                        <c:v>10</c:v>
                      </c:pt>
                      <c:pt idx="4">
                        <c:v>8</c:v>
                      </c:pt>
                      <c:pt idx="5">
                        <c:v>7</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9-C325-4597-9043-57EBDFC6F1FD}"/>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Temperature!$B$28</c15:sqref>
                        </c15:formulaRef>
                      </c:ext>
                    </c:extLst>
                    <c:strCache>
                      <c:ptCount val="1"/>
                      <c:pt idx="0">
                        <c:v>STP Ejector Pump #1</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(Temperature!$E$28,Temperature!$H$28,Temperature!$K$28,Temperature!$N$28,Temperature!$Q$28,Temperature!$T$28,Temperature!$W$28,Temperature!$Z$28,Temperature!$AC$28,Temperature!$AF$28,Temperature!$AI$28,Temperature!$AL$28)</c15:sqref>
                        </c15:formulaRef>
                      </c:ext>
                    </c:extLst>
                    <c:numCache>
                      <c:formatCode>0;\-0;;@</c:formatCode>
                      <c:ptCount val="12"/>
                      <c:pt idx="0">
                        <c:v>11</c:v>
                      </c:pt>
                      <c:pt idx="1">
                        <c:v>-38</c:v>
                      </c:pt>
                      <c:pt idx="2">
                        <c:v>5</c:v>
                      </c:pt>
                      <c:pt idx="3">
                        <c:v>9</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A-C325-4597-9043-57EBDFC6F1FD}"/>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Temperature!$B$29</c15:sqref>
                        </c15:formulaRef>
                      </c:ext>
                    </c:extLst>
                    <c:strCache>
                      <c:ptCount val="1"/>
                      <c:pt idx="0">
                        <c:v>STP Ejector Pump #2</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(Temperature!$E$29,Temperature!$H$29,Temperature!$K$29,Temperature!$N$29,Temperature!$Q$29,Temperature!$T$29,Temperature!$W$29,Temperature!$Z$29,Temperature!$AC$29,Temperature!$AF$29,Temperature!$AI$29,Temperature!$AL$29)</c15:sqref>
                        </c15:formulaRef>
                      </c:ext>
                    </c:extLst>
                    <c:numCache>
                      <c:formatCode>0;\-0;;@</c:formatCode>
                      <c:ptCount val="12"/>
                      <c:pt idx="0">
                        <c:v>-25</c:v>
                      </c:pt>
                      <c:pt idx="1">
                        <c:v>4</c:v>
                      </c:pt>
                      <c:pt idx="2">
                        <c:v>5</c:v>
                      </c:pt>
                      <c:pt idx="3">
                        <c:v>10</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B-C325-4597-9043-57EBDFC6F1FD}"/>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Temperature!$B$30</c15:sqref>
                        </c15:formulaRef>
                      </c:ext>
                    </c:extLst>
                    <c:strCache>
                      <c:ptCount val="1"/>
                      <c:pt idx="0">
                        <c:v>No.1 Main LO Pump </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(Temperature!$E$30,Temperature!$H$30,Temperature!$K$30,Temperature!$N$30,Temperature!$Q$30,Temperature!$T$30,Temperature!$W$30,Temperature!$Z$30,Temperature!$AC$30,Temperature!$AF$30,Temperature!$AI$30,Temperature!$AL$30)</c15:sqref>
                        </c15:formulaRef>
                      </c:ext>
                    </c:extLst>
                    <c:numCache>
                      <c:formatCode>0;\-0;;@</c:formatCode>
                      <c:ptCount val="12"/>
                      <c:pt idx="0">
                        <c:v>-25</c:v>
                      </c:pt>
                      <c:pt idx="1">
                        <c:v>6</c:v>
                      </c:pt>
                      <c:pt idx="2">
                        <c:v>-28</c:v>
                      </c:pt>
                      <c:pt idx="3">
                        <c:v>11</c:v>
                      </c:pt>
                      <c:pt idx="4">
                        <c:v>-28</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C-C325-4597-9043-57EBDFC6F1FD}"/>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Temperature!$B$31</c15:sqref>
                        </c15:formulaRef>
                      </c:ext>
                    </c:extLst>
                    <c:strCache>
                      <c:ptCount val="1"/>
                      <c:pt idx="0">
                        <c:v>No.2 Main LO Pump </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(Temperature!$E$31,Temperature!$H$31,Temperature!$K$31,Temperature!$N$31,Temperature!$Q$31,Temperature!$T$31,Temperature!$W$31,Temperature!$Z$31,Temperature!$AC$31,Temperature!$AF$31,Temperature!$AI$31,Temperature!$AL$31)</c15:sqref>
                        </c15:formulaRef>
                      </c:ext>
                    </c:extLst>
                    <c:numCache>
                      <c:formatCode>0;\-0;;@</c:formatCode>
                      <c:ptCount val="12"/>
                      <c:pt idx="0">
                        <c:v>11</c:v>
                      </c:pt>
                      <c:pt idx="1">
                        <c:v>-38</c:v>
                      </c:pt>
                      <c:pt idx="2">
                        <c:v>9</c:v>
                      </c:pt>
                      <c:pt idx="3">
                        <c:v>-32</c:v>
                      </c:pt>
                      <c:pt idx="4">
                        <c:v>12</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D-C325-4597-9043-57EBDFC6F1FD}"/>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Temperature!$B$32</c15:sqref>
                        </c15:formulaRef>
                      </c:ext>
                    </c:extLst>
                    <c:strCache>
                      <c:ptCount val="1"/>
                      <c:pt idx="0">
                        <c:v>No.1 Steering Gear</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(Temperature!$E$32,Temperature!$H$32,Temperature!$K$32,Temperature!$N$32,Temperature!$Q$32,Temperature!$T$32,Temperature!$W$32,Temperature!$Z$32,Temperature!$AC$32,Temperature!$AF$32,Temperature!$AI$32,Temperature!$AL$32)</c15:sqref>
                        </c15:formulaRef>
                      </c:ext>
                    </c:extLst>
                    <c:numCache>
                      <c:formatCode>0;\-0;;@</c:formatCode>
                      <c:ptCount val="12"/>
                      <c:pt idx="0">
                        <c:v>11</c:v>
                      </c:pt>
                      <c:pt idx="1">
                        <c:v>4</c:v>
                      </c:pt>
                      <c:pt idx="2">
                        <c:v>10</c:v>
                      </c:pt>
                      <c:pt idx="3">
                        <c:v>10</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E-C325-4597-9043-57EBDFC6F1FD}"/>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Temperature!$B$33</c15:sqref>
                        </c15:formulaRef>
                      </c:ext>
                    </c:extLst>
                    <c:strCache>
                      <c:ptCount val="1"/>
                      <c:pt idx="0">
                        <c:v>No.2 Steering Gear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(Temperature!$E$33,Temperature!$H$33,Temperature!$K$33,Temperature!$N$33,Temperature!$Q$33,Temperature!$T$33,Temperature!$W$33,Temperature!$Z$33,Temperature!$AC$33,Temperature!$AF$33,Temperature!$AI$33,Temperature!$AL$33)</c15:sqref>
                        </c15:formulaRef>
                      </c:ext>
                    </c:extLst>
                    <c:numCache>
                      <c:formatCode>0;\-0;;@</c:formatCode>
                      <c:ptCount val="12"/>
                      <c:pt idx="0">
                        <c:v>12</c:v>
                      </c:pt>
                      <c:pt idx="1">
                        <c:v>4</c:v>
                      </c:pt>
                      <c:pt idx="2">
                        <c:v>10</c:v>
                      </c:pt>
                      <c:pt idx="3">
                        <c:v>11</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F-C325-4597-9043-57EBDFC6F1FD}"/>
                  </c:ext>
                </c:extLst>
              </c15:ser>
            </c15:filteredLineSeries>
          </c:ext>
        </c:extLst>
      </c:lineChart>
      <c:catAx>
        <c:axId val="39536512"/>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18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9537664"/>
        <c:crosses val="autoZero"/>
        <c:auto val="1"/>
        <c:lblAlgn val="ctr"/>
        <c:lblOffset val="100"/>
        <c:noMultiLvlLbl val="0"/>
      </c:catAx>
      <c:valAx>
        <c:axId val="395376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9536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SG" sz="2000" b="1" baseline="0"/>
              <a:t>IGG Blower-Diff from E/R Temp</a:t>
            </a:r>
            <a:endParaRPr lang="en-SG" sz="2000" b="1"/>
          </a:p>
        </c:rich>
      </c:tx>
      <c:overlay val="0"/>
      <c:spPr>
        <a:noFill/>
        <a:ln>
          <a:noFill/>
        </a:ln>
        <a:effectLst/>
      </c:spPr>
    </c:title>
    <c:autoTitleDeleted val="0"/>
    <c:plotArea>
      <c:layout>
        <c:manualLayout>
          <c:layoutTarget val="inner"/>
          <c:xMode val="edge"/>
          <c:yMode val="edge"/>
          <c:x val="2.6217571037680958E-2"/>
          <c:y val="9.1239657494952914E-2"/>
          <c:w val="0.9667262001249286"/>
          <c:h val="0.67534297747665262"/>
        </c:manualLayout>
      </c:layout>
      <c:lineChart>
        <c:grouping val="standard"/>
        <c:varyColors val="0"/>
        <c:ser>
          <c:idx val="7"/>
          <c:order val="7"/>
          <c:tx>
            <c:strRef>
              <c:f>Temperature!$B$13</c:f>
              <c:strCache>
                <c:ptCount val="1"/>
                <c:pt idx="0">
                  <c:v>No.1 IGG Blower</c:v>
                </c:pt>
              </c:strCache>
              <c:extLst xmlns:c15="http://schemas.microsoft.com/office/drawing/2012/chart"/>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(Temperature!$E$13,Temperature!$H$13,Temperature!$K$13,Temperature!$N$13,Temperature!$Q$13,Temperature!$T$13,Temperature!$W$13,Temperature!$Z$13,Temperature!$AC$13,Temperature!$AF$13,Temperature!$AI$13,Temperature!$AL$13)</c:f>
              <c:numCache>
                <c:formatCode>0;\-0;;@</c:formatCode>
                <c:ptCount val="12"/>
                <c:pt idx="0">
                  <c:v>-25</c:v>
                </c:pt>
                <c:pt idx="1">
                  <c:v>4</c:v>
                </c:pt>
                <c:pt idx="2">
                  <c:v>-28</c:v>
                </c:pt>
                <c:pt idx="3">
                  <c:v>9</c:v>
                </c:pt>
                <c:pt idx="4">
                  <c:v>-28</c:v>
                </c:pt>
                <c:pt idx="5">
                  <c:v>10</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07-8039-4DB3-9766-F92FB5031AF1}"/>
            </c:ext>
          </c:extLst>
        </c:ser>
        <c:ser>
          <c:idx val="8"/>
          <c:order val="8"/>
          <c:tx>
            <c:strRef>
              <c:f>Temperature!$B$14</c:f>
              <c:strCache>
                <c:ptCount val="1"/>
                <c:pt idx="0">
                  <c:v>No.2 IGG Blower</c:v>
                </c:pt>
              </c:strCache>
              <c:extLst xmlns:c15="http://schemas.microsoft.com/office/drawing/2012/chart"/>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(Temperature!$E$14,Temperature!$H$14,Temperature!$K$14,Temperature!$N$14,Temperature!$Q$14,Temperature!$T$14,Temperature!$W$14,Temperature!$Z$14,Temperature!$AC$14,Temperature!$AF$14,Temperature!$AI$14,Temperature!$AL$14)</c:f>
              <c:numCache>
                <c:formatCode>0;\-0;;@</c:formatCode>
                <c:ptCount val="12"/>
                <c:pt idx="0">
                  <c:v>8</c:v>
                </c:pt>
                <c:pt idx="1">
                  <c:v>-38</c:v>
                </c:pt>
                <c:pt idx="2">
                  <c:v>9</c:v>
                </c:pt>
                <c:pt idx="3">
                  <c:v>13</c:v>
                </c:pt>
                <c:pt idx="4">
                  <c:v>14</c:v>
                </c:pt>
                <c:pt idx="5">
                  <c:v>-32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08-8039-4DB3-9766-F92FB5031AF1}"/>
            </c:ext>
          </c:extLst>
        </c:ser>
        <c:ser>
          <c:idx val="9"/>
          <c:order val="9"/>
          <c:tx>
            <c:strRef>
              <c:f>Temperature!#REF!</c:f>
              <c:strCache>
                <c:ptCount val="1"/>
                <c:pt idx="0">
                  <c:v>#REF!</c:v>
                </c:pt>
              </c:strCache>
              <c:extLst xmlns:c15="http://schemas.microsoft.com/office/drawing/2012/chart"/>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9-8039-4DB3-9766-F92FB5031AF1}"/>
            </c:ext>
          </c:extLst>
        </c:ser>
        <c:ser>
          <c:idx val="10"/>
          <c:order val="10"/>
          <c:tx>
            <c:strRef>
              <c:f>Temperature!#REF!</c:f>
              <c:strCache>
                <c:ptCount val="1"/>
                <c:pt idx="0">
                  <c:v>#REF!</c:v>
                </c:pt>
              </c:strCache>
              <c:extLst xmlns:c15="http://schemas.microsoft.com/office/drawing/2012/chart"/>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A-8039-4DB3-9766-F92FB5031AF1}"/>
            </c:ext>
          </c:extLst>
        </c:ser>
        <c:ser>
          <c:idx val="11"/>
          <c:order val="11"/>
          <c:tx>
            <c:strRef>
              <c:f>Temperature!#REF!</c:f>
              <c:strCache>
                <c:ptCount val="1"/>
                <c:pt idx="0">
                  <c:v>#REF!</c:v>
                </c:pt>
              </c:strCache>
              <c:extLst xmlns:c15="http://schemas.microsoft.com/office/drawing/2012/chart"/>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B-8039-4DB3-9766-F92FB5031AF1}"/>
            </c:ext>
          </c:extLst>
        </c:ser>
        <c:ser>
          <c:idx val="12"/>
          <c:order val="12"/>
          <c:tx>
            <c:strRef>
              <c:f>Temperature!#REF!</c:f>
              <c:strCache>
                <c:ptCount val="1"/>
                <c:pt idx="0">
                  <c:v>#REF!</c:v>
                </c:pt>
              </c:strCache>
              <c:extLst xmlns:c15="http://schemas.microsoft.com/office/drawing/2012/chart"/>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Temperature!#REF!</c:f>
              <c:extLst xmlns:c15="http://schemas.microsoft.com/office/drawing/2012/chart"/>
            </c:numRef>
          </c:val>
          <c:smooth val="0"/>
          <c:extLst xmlns:c15="http://schemas.microsoft.com/office/drawing/2012/chart">
            <c:ext xmlns:c16="http://schemas.microsoft.com/office/drawing/2014/chart" uri="{C3380CC4-5D6E-409C-BE32-E72D297353CC}">
              <c16:uniqueId val="{0000000C-8039-4DB3-9766-F92FB5031AF1}"/>
            </c:ext>
          </c:extLst>
        </c:ser>
        <c:dLbls>
          <c:showLegendKey val="0"/>
          <c:showVal val="0"/>
          <c:showCatName val="0"/>
          <c:showSerName val="0"/>
          <c:showPercent val="0"/>
          <c:showBubbleSize val="0"/>
        </c:dLbls>
        <c:marker val="1"/>
        <c:smooth val="0"/>
        <c:axId val="39918976"/>
        <c:axId val="39933056"/>
        <c:extLst>
          <c:ext xmlns:c15="http://schemas.microsoft.com/office/drawing/2012/chart" uri="{02D57815-91ED-43cb-92C2-25804820EDAC}">
            <c15:filteredLineSeries>
              <c15:ser>
                <c:idx val="0"/>
                <c:order val="0"/>
                <c:tx>
                  <c:strRef>
                    <c:extLst>
                      <c:ext uri="{02D57815-91ED-43cb-92C2-25804820EDAC}">
                        <c15:formulaRef>
                          <c15:sqref>Temperature!$B$6</c15:sqref>
                        </c15:formulaRef>
                      </c:ext>
                    </c:extLst>
                    <c:strCache>
                      <c:ptCount val="1"/>
                      <c:pt idx="0">
                        <c:v>E/R Temperature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extLst>
                      <c:ex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c:ext uri="{02D57815-91ED-43cb-92C2-25804820EDAC}">
                        <c15:formulaRef>
                          <c15:sqref>(Temperature!$E$6,Temperature!$H$6,Temperature!$K$6,Temperature!$N$6,Temperature!$Q$6,Temperature!$T$6,Temperature!$W$6,Temperature!$Z$6,Temperature!$AC$6,Temperature!$AF$6,Temperature!$AI$6,Temperature!$AL$6)</c15:sqref>
                        </c15:formulaRef>
                      </c:ext>
                    </c:extLst>
                    <c:numCache>
                      <c:formatCode>0;\-0;;@</c:formatCode>
                      <c:ptCount val="12"/>
                    </c:numCache>
                  </c:numRef>
                </c:val>
                <c:smooth val="0"/>
                <c:extLst>
                  <c:ext xmlns:c16="http://schemas.microsoft.com/office/drawing/2014/chart" uri="{C3380CC4-5D6E-409C-BE32-E72D297353CC}">
                    <c16:uniqueId val="{00000003-8039-4DB3-9766-F92FB5031AF1}"/>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Temperature!$B$7</c15:sqref>
                        </c15:formulaRef>
                      </c:ext>
                    </c:extLst>
                    <c:strCache>
                      <c:ptCount val="1"/>
                      <c:pt idx="0">
                        <c:v>No.1 Main Air Compressor</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(Temperature!$E$7,Temperature!$H$7,Temperature!$K$7,Temperature!$N$7,Temperature!$Q$7,Temperature!$T$7,Temperature!$W$7,Temperature!$Z$7,Temperature!$AC$7,Temperature!$AF$7,Temperature!$AI$7,Temperature!$AL$7)</c15:sqref>
                        </c15:formulaRef>
                      </c:ext>
                    </c:extLst>
                    <c:numCache>
                      <c:formatCode>0;\-0;;@</c:formatCode>
                      <c:ptCount val="12"/>
                      <c:pt idx="0">
                        <c:v>13</c:v>
                      </c:pt>
                      <c:pt idx="1">
                        <c:v>6</c:v>
                      </c:pt>
                      <c:pt idx="2">
                        <c:v>9</c:v>
                      </c:pt>
                      <c:pt idx="3">
                        <c:v>11</c:v>
                      </c:pt>
                      <c:pt idx="4">
                        <c:v>14</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4-8039-4DB3-9766-F92FB5031AF1}"/>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Temperature!$B$8</c15:sqref>
                        </c15:formulaRef>
                      </c:ext>
                    </c:extLst>
                    <c:strCache>
                      <c:ptCount val="1"/>
                      <c:pt idx="0">
                        <c:v>No.2 Main Air Compressor</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(Temperature!$E$8,Temperature!$H$8,Temperature!$K$8,Temperature!$N$8,Temperature!$Q$8,Temperature!$T$8,Temperature!$W$8,Temperature!$Z$8,Temperature!$AC$8,Temperature!$AF$8,Temperature!$AI$8,Temperature!$AL$8)</c15:sqref>
                        </c15:formulaRef>
                      </c:ext>
                    </c:extLst>
                    <c:numCache>
                      <c:formatCode>0;\-0;;@</c:formatCode>
                      <c:ptCount val="12"/>
                      <c:pt idx="0">
                        <c:v>11</c:v>
                      </c:pt>
                      <c:pt idx="1">
                        <c:v>6</c:v>
                      </c:pt>
                      <c:pt idx="2">
                        <c:v>10</c:v>
                      </c:pt>
                      <c:pt idx="3">
                        <c:v>12</c:v>
                      </c:pt>
                      <c:pt idx="4">
                        <c:v>12</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5-8039-4DB3-9766-F92FB5031AF1}"/>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Temperature!$B$9</c15:sqref>
                        </c15:formulaRef>
                      </c:ext>
                    </c:extLst>
                    <c:strCache>
                      <c:ptCount val="1"/>
                      <c:pt idx="0">
                        <c:v>No.1 Main Cooling S.W. Pump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(Temperature!$E$9,Temperature!$H$9,Temperature!$K$9,Temperature!$N$9,Temperature!$Q$9,Temperature!$T$9,Temperature!$W$9,Temperature!$Z$9,Temperature!$AC$9,Temperature!$AF$9,Temperature!$AI$9,Temperature!$AL$9)</c15:sqref>
                        </c15:formulaRef>
                      </c:ext>
                    </c:extLst>
                    <c:numCache>
                      <c:formatCode>0;\-0;;@</c:formatCode>
                      <c:ptCount val="12"/>
                      <c:pt idx="0">
                        <c:v>10</c:v>
                      </c:pt>
                      <c:pt idx="1">
                        <c:v>-38</c:v>
                      </c:pt>
                      <c:pt idx="2">
                        <c:v>11</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0-8039-4DB3-9766-F92FB5031AF1}"/>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Temperature!$B$10</c15:sqref>
                        </c15:formulaRef>
                      </c:ext>
                    </c:extLst>
                    <c:strCache>
                      <c:ptCount val="1"/>
                      <c:pt idx="0">
                        <c:v>No.2 Main Cooling S.W. Pump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(Temperature!$E$10,Temperature!$H$10,Temperature!$K$10,Temperature!$N$10,Temperature!$Q$10,Temperature!$T$10,Temperature!$W$10,Temperature!$Z$10,Temperature!$AC$10,Temperature!$AF$10,Temperature!$AI$10,Temperature!$AL$10)</c15:sqref>
                        </c15:formulaRef>
                      </c:ext>
                    </c:extLst>
                    <c:numCache>
                      <c:formatCode>0;\-0;;@</c:formatCode>
                      <c:ptCount val="12"/>
                      <c:pt idx="0">
                        <c:v>-25</c:v>
                      </c:pt>
                      <c:pt idx="1">
                        <c:v>4</c:v>
                      </c:pt>
                      <c:pt idx="2">
                        <c:v>-28</c:v>
                      </c:pt>
                      <c:pt idx="3">
                        <c:v>-32</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1-8039-4DB3-9766-F92FB5031AF1}"/>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Temperature!$B$11</c15:sqref>
                        </c15:formulaRef>
                      </c:ext>
                    </c:extLst>
                    <c:strCache>
                      <c:ptCount val="1"/>
                      <c:pt idx="0">
                        <c:v>No.3 Main Cooling S.W. Pump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(Temperature!$E$11,Temperature!$H$11,Temperature!$K$11,Temperature!$N$11,Temperature!$Q$11,Temperature!$T$11,Temperature!$W$11,Temperature!$Z$11,Temperature!$AC$11,Temperature!$AF$11,Temperature!$AI$11,Temperature!$AL$11)</c15:sqref>
                        </c15:formulaRef>
                      </c:ext>
                    </c:extLst>
                    <c:numCache>
                      <c:formatCode>0;\-0;;@</c:formatCode>
                      <c:ptCount val="12"/>
                      <c:pt idx="0">
                        <c:v>-25</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2-8039-4DB3-9766-F92FB5031AF1}"/>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Temperature!$B$12</c15:sqref>
                        </c15:formulaRef>
                      </c:ext>
                    </c:extLst>
                    <c:strCache>
                      <c:ptCount val="1"/>
                      <c:pt idx="0">
                        <c:v>FWG Ejector pump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(Temperature!$E$12,Temperature!$H$12,Temperature!$K$12,Temperature!$N$12,Temperature!$Q$12,Temperature!$T$12,Temperature!$W$12,Temperature!$Z$12,Temperature!$AC$12,Temperature!$AF$12,Temperature!$AI$12,Temperature!$AL$12)</c15:sqref>
                        </c15:formulaRef>
                      </c:ext>
                    </c:extLst>
                    <c:numCache>
                      <c:formatCode>0;\-0;;@</c:formatCode>
                      <c:ptCount val="12"/>
                      <c:pt idx="0">
                        <c:v>11</c:v>
                      </c:pt>
                      <c:pt idx="1">
                        <c:v>2</c:v>
                      </c:pt>
                      <c:pt idx="2">
                        <c:v>9</c:v>
                      </c:pt>
                      <c:pt idx="3">
                        <c:v>11</c:v>
                      </c:pt>
                      <c:pt idx="4">
                        <c:v>16</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8039-4DB3-9766-F92FB5031AF1}"/>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Temperature!$B$15</c15:sqref>
                        </c15:formulaRef>
                      </c:ext>
                    </c:extLst>
                    <c:strCache>
                      <c:ptCount val="1"/>
                      <c:pt idx="0">
                        <c:v>Incinerator Flue Gas Fan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(Temperature!$E$15,Temperature!$H$15,Temperature!$K$15,Temperature!$N$15,Temperature!$Q$15,Temperature!$T$15,Temperature!$W$15,Temperature!$Z$15,Temperature!$AC$15,Temperature!$AF$15,Temperature!$AI$15,Temperature!$AL$15)</c15:sqref>
                        </c15:formulaRef>
                      </c:ext>
                    </c:extLst>
                    <c:numCache>
                      <c:formatCode>0;\-0;;@</c:formatCode>
                      <c:ptCount val="12"/>
                      <c:pt idx="0">
                        <c:v>9</c:v>
                      </c:pt>
                      <c:pt idx="1">
                        <c:v>4</c:v>
                      </c:pt>
                      <c:pt idx="2">
                        <c:v>8</c:v>
                      </c:pt>
                      <c:pt idx="3">
                        <c:v>9</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D-8039-4DB3-9766-F92FB5031AF1}"/>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Temperature!$B$16</c15:sqref>
                        </c15:formulaRef>
                      </c:ext>
                    </c:extLst>
                    <c:strCache>
                      <c:ptCount val="1"/>
                      <c:pt idx="0">
                        <c:v>Incinerator Blower Motor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(Temperature!$E$16,Temperature!$H$16,Temperature!$K$16,Temperature!$N$16,Temperature!$Q$16,Temperature!$T$16,Temperature!$W$16,Temperature!$Z$16,Temperature!$AC$16,Temperature!$AF$16,Temperature!$AI$16,Temperature!$AL$16)</c15:sqref>
                        </c15:formulaRef>
                      </c:ext>
                    </c:extLst>
                    <c:numCache>
                      <c:formatCode>0;\-0;;@</c:formatCode>
                      <c:ptCount val="12"/>
                      <c:pt idx="0">
                        <c:v>10</c:v>
                      </c:pt>
                      <c:pt idx="1">
                        <c:v>0</c:v>
                      </c:pt>
                      <c:pt idx="2">
                        <c:v>7</c:v>
                      </c:pt>
                      <c:pt idx="3">
                        <c:v>10</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E-8039-4DB3-9766-F92FB5031AF1}"/>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Temperature!$B$17</c15:sqref>
                        </c15:formulaRef>
                      </c:ext>
                    </c:extLst>
                    <c:strCache>
                      <c:ptCount val="1"/>
                      <c:pt idx="0">
                        <c:v>No.1 Deck Seal Pump</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(Temperature!$E$17,Temperature!$H$17,Temperature!$K$17,Temperature!$N$17,Temperature!$Q$17,Temperature!$T$17,Temperature!$W$17,Temperature!$Z$17,Temperature!$AC$17,Temperature!$AF$17,Temperature!$AI$17,Temperature!$AL$17)</c15:sqref>
                        </c15:formulaRef>
                      </c:ext>
                    </c:extLst>
                    <c:numCache>
                      <c:formatCode>0;\-0;;@</c:formatCode>
                      <c:ptCount val="12"/>
                      <c:pt idx="0">
                        <c:v>7</c:v>
                      </c:pt>
                      <c:pt idx="1">
                        <c:v>-38</c:v>
                      </c:pt>
                      <c:pt idx="2">
                        <c:v>8</c:v>
                      </c:pt>
                      <c:pt idx="3">
                        <c:v>8</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F-8039-4DB3-9766-F92FB5031AF1}"/>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Temperature!$B$18</c15:sqref>
                        </c15:formulaRef>
                      </c:ext>
                    </c:extLst>
                    <c:strCache>
                      <c:ptCount val="1"/>
                      <c:pt idx="0">
                        <c:v>No.2 Deck Seal Pump</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(Temperature!$E$18,Temperature!$H$18,Temperature!$K$18,Temperature!$N$18,Temperature!$Q$18,Temperature!$T$18,Temperature!$W$18,Temperature!$Z$18,Temperature!$AC$18,Temperature!$AF$18,Temperature!$AI$18,Temperature!$AL$18)</c15:sqref>
                        </c15:formulaRef>
                      </c:ext>
                    </c:extLst>
                    <c:numCache>
                      <c:formatCode>0;\-0;;@</c:formatCode>
                      <c:ptCount val="12"/>
                      <c:pt idx="0">
                        <c:v>-25</c:v>
                      </c:pt>
                      <c:pt idx="1">
                        <c:v>-1</c:v>
                      </c:pt>
                      <c:pt idx="2">
                        <c:v>-28</c:v>
                      </c:pt>
                      <c:pt idx="3">
                        <c:v>-32</c:v>
                      </c:pt>
                      <c:pt idx="4">
                        <c:v>10</c:v>
                      </c:pt>
                      <c:pt idx="5">
                        <c:v>5</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0-8039-4DB3-9766-F92FB5031AF1}"/>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Temperature!$B$19</c15:sqref>
                        </c15:formulaRef>
                      </c:ext>
                    </c:extLst>
                    <c:strCache>
                      <c:ptCount val="1"/>
                      <c:pt idx="0">
                        <c:v>IGG Scrubber Pump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(Temperature!$E$19,Temperature!$H$19,Temperature!$K$19,Temperature!$N$19,Temperature!$Q$19,Temperature!$T$19,Temperature!$W$19,Temperature!$Z$19,Temperature!$AC$19,Temperature!$AF$19,Temperature!$AI$19,Temperature!$AL$19)</c15:sqref>
                        </c15:formulaRef>
                      </c:ext>
                    </c:extLst>
                    <c:numCache>
                      <c:formatCode>0;\-0;;@</c:formatCode>
                      <c:ptCount val="12"/>
                      <c:pt idx="0">
                        <c:v>13</c:v>
                      </c:pt>
                      <c:pt idx="1">
                        <c:v>2</c:v>
                      </c:pt>
                      <c:pt idx="2">
                        <c:v>10</c:v>
                      </c:pt>
                      <c:pt idx="3">
                        <c:v>12</c:v>
                      </c:pt>
                      <c:pt idx="4">
                        <c:v>12</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1-8039-4DB3-9766-F92FB5031AF1}"/>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Temperature!$B$20</c15:sqref>
                        </c15:formulaRef>
                      </c:ext>
                    </c:extLst>
                    <c:strCache>
                      <c:ptCount val="1"/>
                      <c:pt idx="0">
                        <c:v>No.1 G/E L.O. Priming Pump</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(Temperature!$E$20,Temperature!$H$20,Temperature!$K$20,Temperature!$N$20,Temperature!$Q$20,Temperature!$T$20,Temperature!$W$20,Temperature!$Z$20,Temperature!$AC$20,Temperature!$AF$20,Temperature!$AI$20,Temperature!$AL$20)</c15:sqref>
                        </c15:formulaRef>
                      </c:ext>
                    </c:extLst>
                    <c:numCache>
                      <c:formatCode>0;\-0;;@</c:formatCode>
                      <c:ptCount val="12"/>
                      <c:pt idx="0">
                        <c:v>12</c:v>
                      </c:pt>
                      <c:pt idx="1">
                        <c:v>0</c:v>
                      </c:pt>
                      <c:pt idx="2">
                        <c:v>8</c:v>
                      </c:pt>
                      <c:pt idx="3">
                        <c:v>10</c:v>
                      </c:pt>
                      <c:pt idx="4">
                        <c:v>10</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2-8039-4DB3-9766-F92FB5031AF1}"/>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Temperature!$B$21</c15:sqref>
                        </c15:formulaRef>
                      </c:ext>
                    </c:extLst>
                    <c:strCache>
                      <c:ptCount val="1"/>
                      <c:pt idx="0">
                        <c:v>No.2 G/E L.O. Priming Pump</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(Temperature!$E$21,Temperature!$H$21,Temperature!$K$21,Temperature!$N$21,Temperature!$Q$21,Temperature!$T$21,Temperature!$W$21,Temperature!$Z$21,Temperature!$AC$21,Temperature!$AF$21,Temperature!$AI$21,Temperature!$AL$21)</c15:sqref>
                        </c15:formulaRef>
                      </c:ext>
                    </c:extLst>
                    <c:numCache>
                      <c:formatCode>0;\-0;;@</c:formatCode>
                      <c:ptCount val="12"/>
                      <c:pt idx="0">
                        <c:v>11</c:v>
                      </c:pt>
                      <c:pt idx="1">
                        <c:v>0</c:v>
                      </c:pt>
                      <c:pt idx="2">
                        <c:v>9</c:v>
                      </c:pt>
                      <c:pt idx="3">
                        <c:v>9</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3-8039-4DB3-9766-F92FB5031AF1}"/>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Temperature!$B$22</c15:sqref>
                        </c15:formulaRef>
                      </c:ext>
                    </c:extLst>
                    <c:strCache>
                      <c:ptCount val="1"/>
                      <c:pt idx="0">
                        <c:v>No.3 G/E L.O. Priming Pump</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(Temperature!$E$22,Temperature!$H$22,Temperature!$K$22,Temperature!$N$22,Temperature!$Q$22,Temperature!$T$22,Temperature!$W$22,Temperature!$Z$22,Temperature!$AC$22,Temperature!$AF$22,Temperature!$AI$22,Temperature!$AL$22)</c15:sqref>
                        </c15:formulaRef>
                      </c:ext>
                    </c:extLst>
                    <c:numCache>
                      <c:formatCode>0;\-0;;@</c:formatCode>
                      <c:ptCount val="12"/>
                      <c:pt idx="0">
                        <c:v>10</c:v>
                      </c:pt>
                      <c:pt idx="1">
                        <c:v>-2</c:v>
                      </c:pt>
                      <c:pt idx="2">
                        <c:v>8</c:v>
                      </c:pt>
                      <c:pt idx="3">
                        <c:v>-32</c:v>
                      </c:pt>
                      <c:pt idx="4">
                        <c:v>8</c:v>
                      </c:pt>
                      <c:pt idx="5">
                        <c:v>4</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4-8039-4DB3-9766-F92FB5031AF1}"/>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Temperature!$B$23</c15:sqref>
                        </c15:formulaRef>
                      </c:ext>
                    </c:extLst>
                    <c:strCache>
                      <c:ptCount val="1"/>
                      <c:pt idx="0">
                        <c:v>No.1 M/E FO Circulating Pump</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(Temperature!$E$23,Temperature!$H$23,Temperature!$K$23,Temperature!$N$23,Temperature!$Q$23,Temperature!$T$23,Temperature!$W$23,Temperature!$Z$23,Temperature!$AC$23,Temperature!$AF$23,Temperature!$AI$23,Temperature!$AL$23)</c15:sqref>
                        </c15:formulaRef>
                      </c:ext>
                    </c:extLst>
                    <c:numCache>
                      <c:formatCode>0;\-0;;@</c:formatCode>
                      <c:ptCount val="12"/>
                      <c:pt idx="0">
                        <c:v>-25</c:v>
                      </c:pt>
                      <c:pt idx="1">
                        <c:v>6</c:v>
                      </c:pt>
                      <c:pt idx="2">
                        <c:v>11</c:v>
                      </c:pt>
                      <c:pt idx="3">
                        <c:v>16</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5-8039-4DB3-9766-F92FB5031AF1}"/>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Temperature!$B$24</c15:sqref>
                        </c15:formulaRef>
                      </c:ext>
                    </c:extLst>
                    <c:strCache>
                      <c:ptCount val="1"/>
                      <c:pt idx="0">
                        <c:v>No.2 M/E FO Circulating Pump</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(Temperature!$E$24,Temperature!$H$24,Temperature!$K$24,Temperature!$N$24,Temperature!$Q$24,Temperature!$T$24,Temperature!$W$24,Temperature!$Z$24,Temperature!$AC$24,Temperature!$AF$24,Temperature!$AI$24,Temperature!$AL$24)</c15:sqref>
                        </c15:formulaRef>
                      </c:ext>
                    </c:extLst>
                    <c:numCache>
                      <c:formatCode>0;\-0;;@</c:formatCode>
                      <c:ptCount val="12"/>
                      <c:pt idx="0">
                        <c:v>13</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6-8039-4DB3-9766-F92FB5031AF1}"/>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Temperature!$B$25</c15:sqref>
                        </c15:formulaRef>
                      </c:ext>
                    </c:extLst>
                    <c:strCache>
                      <c:ptCount val="1"/>
                      <c:pt idx="0">
                        <c:v>Economiser Feed water Pump</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(Temperature!$E$25,Temperature!$H$25,Temperature!$K$25,Temperature!$N$25,Temperature!$Q$25,Temperature!$T$25,Temperature!$W$25,Temperature!$Z$25,Temperature!$AC$25,Temperature!$AF$25,Temperature!$AI$25,Temperature!$AL$25)</c15:sqref>
                        </c15:formulaRef>
                      </c:ext>
                    </c:extLst>
                    <c:numCache>
                      <c:formatCode>0;\-0;;@</c:formatCode>
                      <c:ptCount val="12"/>
                      <c:pt idx="0">
                        <c:v>-25</c:v>
                      </c:pt>
                      <c:pt idx="1">
                        <c:v>-38</c:v>
                      </c:pt>
                      <c:pt idx="2">
                        <c:v>-28</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7-8039-4DB3-9766-F92FB5031AF1}"/>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Temperature!$B$26</c15:sqref>
                        </c15:formulaRef>
                      </c:ext>
                    </c:extLst>
                    <c:strCache>
                      <c:ptCount val="1"/>
                      <c:pt idx="0">
                        <c:v>STP Blower </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(Temperature!$E$26,Temperature!$H$26,Temperature!$K$26,Temperature!$N$26,Temperature!$Q$26,Temperature!$T$26,Temperature!$W$26,Temperature!$Z$26,Temperature!$AC$26,Temperature!$AF$26,Temperature!$AI$26,Temperature!$AL$26)</c15:sqref>
                        </c15:formulaRef>
                      </c:ext>
                    </c:extLst>
                    <c:numCache>
                      <c:formatCode>0;\-0;;@</c:formatCode>
                      <c:ptCount val="12"/>
                      <c:pt idx="0">
                        <c:v>11</c:v>
                      </c:pt>
                      <c:pt idx="1">
                        <c:v>6</c:v>
                      </c:pt>
                      <c:pt idx="2">
                        <c:v>7</c:v>
                      </c:pt>
                      <c:pt idx="3">
                        <c:v>7</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8-8039-4DB3-9766-F92FB5031AF1}"/>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Temperature!$B$27</c15:sqref>
                        </c15:formulaRef>
                      </c:ext>
                    </c:extLst>
                    <c:strCache>
                      <c:ptCount val="1"/>
                      <c:pt idx="0">
                        <c:v>STP Discharge Pump</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(Temperature!$E$27,Temperature!$H$27,Temperature!$K$27,Temperature!$N$27,Temperature!$Q$27,Temperature!$T$27,Temperature!$W$27,Temperature!$Z$27,Temperature!$AC$27,Temperature!$AF$27,Temperature!$AI$27,Temperature!$AL$27)</c15:sqref>
                        </c15:formulaRef>
                      </c:ext>
                    </c:extLst>
                    <c:numCache>
                      <c:formatCode>0;\-0;;@</c:formatCode>
                      <c:ptCount val="12"/>
                      <c:pt idx="0">
                        <c:v>9</c:v>
                      </c:pt>
                      <c:pt idx="1">
                        <c:v>1</c:v>
                      </c:pt>
                      <c:pt idx="2">
                        <c:v>6</c:v>
                      </c:pt>
                      <c:pt idx="3">
                        <c:v>10</c:v>
                      </c:pt>
                      <c:pt idx="4">
                        <c:v>8</c:v>
                      </c:pt>
                      <c:pt idx="5">
                        <c:v>7</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9-8039-4DB3-9766-F92FB5031AF1}"/>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Temperature!$B$28</c15:sqref>
                        </c15:formulaRef>
                      </c:ext>
                    </c:extLst>
                    <c:strCache>
                      <c:ptCount val="1"/>
                      <c:pt idx="0">
                        <c:v>STP Ejector Pump #1</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(Temperature!$E$28,Temperature!$H$28,Temperature!$K$28,Temperature!$N$28,Temperature!$Q$28,Temperature!$T$28,Temperature!$W$28,Temperature!$Z$28,Temperature!$AC$28,Temperature!$AF$28,Temperature!$AI$28,Temperature!$AL$28)</c15:sqref>
                        </c15:formulaRef>
                      </c:ext>
                    </c:extLst>
                    <c:numCache>
                      <c:formatCode>0;\-0;;@</c:formatCode>
                      <c:ptCount val="12"/>
                      <c:pt idx="0">
                        <c:v>11</c:v>
                      </c:pt>
                      <c:pt idx="1">
                        <c:v>-38</c:v>
                      </c:pt>
                      <c:pt idx="2">
                        <c:v>5</c:v>
                      </c:pt>
                      <c:pt idx="3">
                        <c:v>9</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A-8039-4DB3-9766-F92FB5031AF1}"/>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Temperature!$B$29</c15:sqref>
                        </c15:formulaRef>
                      </c:ext>
                    </c:extLst>
                    <c:strCache>
                      <c:ptCount val="1"/>
                      <c:pt idx="0">
                        <c:v>STP Ejector Pump #2</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(Temperature!$E$29,Temperature!$H$29,Temperature!$K$29,Temperature!$N$29,Temperature!$Q$29,Temperature!$T$29,Temperature!$W$29,Temperature!$Z$29,Temperature!$AC$29,Temperature!$AF$29,Temperature!$AI$29,Temperature!$AL$29)</c15:sqref>
                        </c15:formulaRef>
                      </c:ext>
                    </c:extLst>
                    <c:numCache>
                      <c:formatCode>0;\-0;;@</c:formatCode>
                      <c:ptCount val="12"/>
                      <c:pt idx="0">
                        <c:v>-25</c:v>
                      </c:pt>
                      <c:pt idx="1">
                        <c:v>4</c:v>
                      </c:pt>
                      <c:pt idx="2">
                        <c:v>5</c:v>
                      </c:pt>
                      <c:pt idx="3">
                        <c:v>10</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B-8039-4DB3-9766-F92FB5031AF1}"/>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Temperature!$B$30</c15:sqref>
                        </c15:formulaRef>
                      </c:ext>
                    </c:extLst>
                    <c:strCache>
                      <c:ptCount val="1"/>
                      <c:pt idx="0">
                        <c:v>No.1 Main LO Pump </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(Temperature!$E$30,Temperature!$H$30,Temperature!$K$30,Temperature!$N$30,Temperature!$Q$30,Temperature!$T$30,Temperature!$W$30,Temperature!$Z$30,Temperature!$AC$30,Temperature!$AF$30,Temperature!$AI$30,Temperature!$AL$30)</c15:sqref>
                        </c15:formulaRef>
                      </c:ext>
                    </c:extLst>
                    <c:numCache>
                      <c:formatCode>0;\-0;;@</c:formatCode>
                      <c:ptCount val="12"/>
                      <c:pt idx="0">
                        <c:v>-25</c:v>
                      </c:pt>
                      <c:pt idx="1">
                        <c:v>6</c:v>
                      </c:pt>
                      <c:pt idx="2">
                        <c:v>-28</c:v>
                      </c:pt>
                      <c:pt idx="3">
                        <c:v>11</c:v>
                      </c:pt>
                      <c:pt idx="4">
                        <c:v>-28</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C-8039-4DB3-9766-F92FB5031AF1}"/>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Temperature!$B$31</c15:sqref>
                        </c15:formulaRef>
                      </c:ext>
                    </c:extLst>
                    <c:strCache>
                      <c:ptCount val="1"/>
                      <c:pt idx="0">
                        <c:v>No.2 Main LO Pump </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(Temperature!$E$31,Temperature!$H$31,Temperature!$K$31,Temperature!$N$31,Temperature!$Q$31,Temperature!$T$31,Temperature!$W$31,Temperature!$Z$31,Temperature!$AC$31,Temperature!$AF$31,Temperature!$AI$31,Temperature!$AL$31)</c15:sqref>
                        </c15:formulaRef>
                      </c:ext>
                    </c:extLst>
                    <c:numCache>
                      <c:formatCode>0;\-0;;@</c:formatCode>
                      <c:ptCount val="12"/>
                      <c:pt idx="0">
                        <c:v>11</c:v>
                      </c:pt>
                      <c:pt idx="1">
                        <c:v>-38</c:v>
                      </c:pt>
                      <c:pt idx="2">
                        <c:v>9</c:v>
                      </c:pt>
                      <c:pt idx="3">
                        <c:v>-32</c:v>
                      </c:pt>
                      <c:pt idx="4">
                        <c:v>12</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D-8039-4DB3-9766-F92FB5031AF1}"/>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Temperature!$B$32</c15:sqref>
                        </c15:formulaRef>
                      </c:ext>
                    </c:extLst>
                    <c:strCache>
                      <c:ptCount val="1"/>
                      <c:pt idx="0">
                        <c:v>No.1 Steering Gear</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(Temperature!$E$32,Temperature!$H$32,Temperature!$K$32,Temperature!$N$32,Temperature!$Q$32,Temperature!$T$32,Temperature!$W$32,Temperature!$Z$32,Temperature!$AC$32,Temperature!$AF$32,Temperature!$AI$32,Temperature!$AL$32)</c15:sqref>
                        </c15:formulaRef>
                      </c:ext>
                    </c:extLst>
                    <c:numCache>
                      <c:formatCode>0;\-0;;@</c:formatCode>
                      <c:ptCount val="12"/>
                      <c:pt idx="0">
                        <c:v>11</c:v>
                      </c:pt>
                      <c:pt idx="1">
                        <c:v>4</c:v>
                      </c:pt>
                      <c:pt idx="2">
                        <c:v>10</c:v>
                      </c:pt>
                      <c:pt idx="3">
                        <c:v>10</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E-8039-4DB3-9766-F92FB5031AF1}"/>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Temperature!$B$33</c15:sqref>
                        </c15:formulaRef>
                      </c:ext>
                    </c:extLst>
                    <c:strCache>
                      <c:ptCount val="1"/>
                      <c:pt idx="0">
                        <c:v>No.2 Steering Gear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(Temperature!$E$33,Temperature!$H$33,Temperature!$K$33,Temperature!$N$33,Temperature!$Q$33,Temperature!$T$33,Temperature!$W$33,Temperature!$Z$33,Temperature!$AC$33,Temperature!$AF$33,Temperature!$AI$33,Temperature!$AL$33)</c15:sqref>
                        </c15:formulaRef>
                      </c:ext>
                    </c:extLst>
                    <c:numCache>
                      <c:formatCode>0;\-0;;@</c:formatCode>
                      <c:ptCount val="12"/>
                      <c:pt idx="0">
                        <c:v>12</c:v>
                      </c:pt>
                      <c:pt idx="1">
                        <c:v>4</c:v>
                      </c:pt>
                      <c:pt idx="2">
                        <c:v>10</c:v>
                      </c:pt>
                      <c:pt idx="3">
                        <c:v>11</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F-8039-4DB3-9766-F92FB5031AF1}"/>
                  </c:ext>
                </c:extLst>
              </c15:ser>
            </c15:filteredLineSeries>
          </c:ext>
        </c:extLst>
      </c:lineChart>
      <c:catAx>
        <c:axId val="39918976"/>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18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9933056"/>
        <c:crosses val="autoZero"/>
        <c:auto val="1"/>
        <c:lblAlgn val="ctr"/>
        <c:lblOffset val="100"/>
        <c:noMultiLvlLbl val="0"/>
      </c:catAx>
      <c:valAx>
        <c:axId val="399330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9918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SG" sz="2000" b="1" baseline="0"/>
              <a:t>Incinerator-Diff from E/R Temp</a:t>
            </a:r>
            <a:endParaRPr lang="en-SG" sz="2000" b="1"/>
          </a:p>
        </c:rich>
      </c:tx>
      <c:overlay val="0"/>
      <c:spPr>
        <a:noFill/>
        <a:ln>
          <a:noFill/>
        </a:ln>
        <a:effectLst/>
      </c:spPr>
    </c:title>
    <c:autoTitleDeleted val="0"/>
    <c:plotArea>
      <c:layout>
        <c:manualLayout>
          <c:layoutTarget val="inner"/>
          <c:xMode val="edge"/>
          <c:yMode val="edge"/>
          <c:x val="2.6217571037680958E-2"/>
          <c:y val="9.1239657494952914E-2"/>
          <c:w val="0.9667262001249286"/>
          <c:h val="0.67534297747665262"/>
        </c:manualLayout>
      </c:layout>
      <c:lineChart>
        <c:grouping val="standard"/>
        <c:varyColors val="0"/>
        <c:ser>
          <c:idx val="13"/>
          <c:order val="13"/>
          <c:tx>
            <c:strRef>
              <c:f>Temperature!$B$15</c:f>
              <c:strCache>
                <c:ptCount val="1"/>
                <c:pt idx="0">
                  <c:v>Incinerator Flue Gas Fan</c:v>
                </c:pt>
              </c:strCache>
              <c:extLst xmlns:c15="http://schemas.microsoft.com/office/drawing/2012/chart"/>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(Temperature!$E$15,Temperature!$H$15,Temperature!$K$15,Temperature!$N$15,Temperature!$Q$15,Temperature!$T$15,Temperature!$W$15,Temperature!$Z$15,Temperature!$AC$15,Temperature!$AF$15,Temperature!$AI$15,Temperature!$AL$15)</c:f>
              <c:numCache>
                <c:formatCode>0;\-0;;@</c:formatCode>
                <c:ptCount val="12"/>
                <c:pt idx="0">
                  <c:v>9</c:v>
                </c:pt>
                <c:pt idx="1">
                  <c:v>4</c:v>
                </c:pt>
                <c:pt idx="2">
                  <c:v>8</c:v>
                </c:pt>
                <c:pt idx="3">
                  <c:v>9</c:v>
                </c:pt>
                <c:pt idx="4">
                  <c:v>10</c:v>
                </c:pt>
                <c:pt idx="5">
                  <c:v>10</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0D-1E67-429F-82F7-E90A460DAFD3}"/>
            </c:ext>
          </c:extLst>
        </c:ser>
        <c:ser>
          <c:idx val="14"/>
          <c:order val="14"/>
          <c:tx>
            <c:strRef>
              <c:f>Temperature!$B$16</c:f>
              <c:strCache>
                <c:ptCount val="1"/>
                <c:pt idx="0">
                  <c:v>Incinerator Blower Motor</c:v>
                </c:pt>
              </c:strCache>
              <c:extLst xmlns:c15="http://schemas.microsoft.com/office/drawing/2012/chart"/>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(Temperature!$E$16,Temperature!$H$16,Temperature!$K$16,Temperature!$N$16,Temperature!$Q$16,Temperature!$T$16,Temperature!$W$16,Temperature!$Z$16,Temperature!$AC$16,Temperature!$AF$16,Temperature!$AI$16,Temperature!$AL$16)</c:f>
              <c:numCache>
                <c:formatCode>0;\-0;;@</c:formatCode>
                <c:ptCount val="12"/>
                <c:pt idx="0">
                  <c:v>10</c:v>
                </c:pt>
                <c:pt idx="1">
                  <c:v>0</c:v>
                </c:pt>
                <c:pt idx="2">
                  <c:v>7</c:v>
                </c:pt>
                <c:pt idx="3">
                  <c:v>10</c:v>
                </c:pt>
                <c:pt idx="4">
                  <c:v>8</c:v>
                </c:pt>
                <c:pt idx="5">
                  <c:v>6</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0E-1E67-429F-82F7-E90A460DAFD3}"/>
            </c:ext>
          </c:extLst>
        </c:ser>
        <c:dLbls>
          <c:showLegendKey val="0"/>
          <c:showVal val="0"/>
          <c:showCatName val="0"/>
          <c:showSerName val="0"/>
          <c:showPercent val="0"/>
          <c:showBubbleSize val="0"/>
        </c:dLbls>
        <c:marker val="1"/>
        <c:smooth val="0"/>
        <c:axId val="40000896"/>
        <c:axId val="40031360"/>
        <c:extLst>
          <c:ext xmlns:c15="http://schemas.microsoft.com/office/drawing/2012/chart" uri="{02D57815-91ED-43cb-92C2-25804820EDAC}">
            <c15:filteredLineSeries>
              <c15:ser>
                <c:idx val="0"/>
                <c:order val="0"/>
                <c:tx>
                  <c:strRef>
                    <c:extLst>
                      <c:ext uri="{02D57815-91ED-43cb-92C2-25804820EDAC}">
                        <c15:formulaRef>
                          <c15:sqref>Temperature!$B$6</c15:sqref>
                        </c15:formulaRef>
                      </c:ext>
                    </c:extLst>
                    <c:strCache>
                      <c:ptCount val="1"/>
                      <c:pt idx="0">
                        <c:v>E/R Temperature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extLst>
                      <c:ex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c:ext uri="{02D57815-91ED-43cb-92C2-25804820EDAC}">
                        <c15:formulaRef>
                          <c15:sqref>(Temperature!$E$6,Temperature!$H$6,Temperature!$K$6,Temperature!$N$6,Temperature!$Q$6,Temperature!$T$6,Temperature!$W$6,Temperature!$Z$6,Temperature!$AC$6,Temperature!$AF$6,Temperature!$AI$6,Temperature!$AL$6)</c15:sqref>
                        </c15:formulaRef>
                      </c:ext>
                    </c:extLst>
                    <c:numCache>
                      <c:formatCode>0;\-0;;@</c:formatCode>
                      <c:ptCount val="12"/>
                    </c:numCache>
                  </c:numRef>
                </c:val>
                <c:smooth val="0"/>
                <c:extLst>
                  <c:ext xmlns:c16="http://schemas.microsoft.com/office/drawing/2014/chart" uri="{C3380CC4-5D6E-409C-BE32-E72D297353CC}">
                    <c16:uniqueId val="{00000004-1E67-429F-82F7-E90A460DAFD3}"/>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Temperature!$B$7</c15:sqref>
                        </c15:formulaRef>
                      </c:ext>
                    </c:extLst>
                    <c:strCache>
                      <c:ptCount val="1"/>
                      <c:pt idx="0">
                        <c:v>No.1 Main Air Compressor</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(Temperature!$E$7,Temperature!$H$7,Temperature!$K$7,Temperature!$N$7,Temperature!$Q$7,Temperature!$T$7,Temperature!$W$7,Temperature!$Z$7,Temperature!$AC$7,Temperature!$AF$7,Temperature!$AI$7,Temperature!$AL$7)</c15:sqref>
                        </c15:formulaRef>
                      </c:ext>
                    </c:extLst>
                    <c:numCache>
                      <c:formatCode>0;\-0;;@</c:formatCode>
                      <c:ptCount val="12"/>
                      <c:pt idx="0">
                        <c:v>13</c:v>
                      </c:pt>
                      <c:pt idx="1">
                        <c:v>6</c:v>
                      </c:pt>
                      <c:pt idx="2">
                        <c:v>9</c:v>
                      </c:pt>
                      <c:pt idx="3">
                        <c:v>11</c:v>
                      </c:pt>
                      <c:pt idx="4">
                        <c:v>14</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5-1E67-429F-82F7-E90A460DAFD3}"/>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Temperature!$B$8</c15:sqref>
                        </c15:formulaRef>
                      </c:ext>
                    </c:extLst>
                    <c:strCache>
                      <c:ptCount val="1"/>
                      <c:pt idx="0">
                        <c:v>No.2 Main Air Compressor</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(Temperature!$E$8,Temperature!$H$8,Temperature!$K$8,Temperature!$N$8,Temperature!$Q$8,Temperature!$T$8,Temperature!$W$8,Temperature!$Z$8,Temperature!$AC$8,Temperature!$AF$8,Temperature!$AI$8,Temperature!$AL$8)</c15:sqref>
                        </c15:formulaRef>
                      </c:ext>
                    </c:extLst>
                    <c:numCache>
                      <c:formatCode>0;\-0;;@</c:formatCode>
                      <c:ptCount val="12"/>
                      <c:pt idx="0">
                        <c:v>11</c:v>
                      </c:pt>
                      <c:pt idx="1">
                        <c:v>6</c:v>
                      </c:pt>
                      <c:pt idx="2">
                        <c:v>10</c:v>
                      </c:pt>
                      <c:pt idx="3">
                        <c:v>12</c:v>
                      </c:pt>
                      <c:pt idx="4">
                        <c:v>12</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1E67-429F-82F7-E90A460DAFD3}"/>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Temperature!$B$9</c15:sqref>
                        </c15:formulaRef>
                      </c:ext>
                    </c:extLst>
                    <c:strCache>
                      <c:ptCount val="1"/>
                      <c:pt idx="0">
                        <c:v>No.1 Main Cooling S.W. Pump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(Temperature!$E$9,Temperature!$H$9,Temperature!$K$9,Temperature!$N$9,Temperature!$Q$9,Temperature!$T$9,Temperature!$W$9,Temperature!$Z$9,Temperature!$AC$9,Temperature!$AF$9,Temperature!$AI$9,Temperature!$AL$9)</c15:sqref>
                        </c15:formulaRef>
                      </c:ext>
                    </c:extLst>
                    <c:numCache>
                      <c:formatCode>0;\-0;;@</c:formatCode>
                      <c:ptCount val="12"/>
                      <c:pt idx="0">
                        <c:v>10</c:v>
                      </c:pt>
                      <c:pt idx="1">
                        <c:v>-38</c:v>
                      </c:pt>
                      <c:pt idx="2">
                        <c:v>11</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7-1E67-429F-82F7-E90A460DAFD3}"/>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Temperature!$B$10</c15:sqref>
                        </c15:formulaRef>
                      </c:ext>
                    </c:extLst>
                    <c:strCache>
                      <c:ptCount val="1"/>
                      <c:pt idx="0">
                        <c:v>No.2 Main Cooling S.W. Pump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(Temperature!$E$10,Temperature!$H$10,Temperature!$K$10,Temperature!$N$10,Temperature!$Q$10,Temperature!$T$10,Temperature!$W$10,Temperature!$Z$10,Temperature!$AC$10,Temperature!$AF$10,Temperature!$AI$10,Temperature!$AL$10)</c15:sqref>
                        </c15:formulaRef>
                      </c:ext>
                    </c:extLst>
                    <c:numCache>
                      <c:formatCode>0;\-0;;@</c:formatCode>
                      <c:ptCount val="12"/>
                      <c:pt idx="0">
                        <c:v>-25</c:v>
                      </c:pt>
                      <c:pt idx="1">
                        <c:v>4</c:v>
                      </c:pt>
                      <c:pt idx="2">
                        <c:v>-28</c:v>
                      </c:pt>
                      <c:pt idx="3">
                        <c:v>-32</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8-1E67-429F-82F7-E90A460DAFD3}"/>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Temperature!$B$11</c15:sqref>
                        </c15:formulaRef>
                      </c:ext>
                    </c:extLst>
                    <c:strCache>
                      <c:ptCount val="1"/>
                      <c:pt idx="0">
                        <c:v>No.3 Main Cooling S.W. Pump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(Temperature!$E$11,Temperature!$H$11,Temperature!$K$11,Temperature!$N$11,Temperature!$Q$11,Temperature!$T$11,Temperature!$W$11,Temperature!$Z$11,Temperature!$AC$11,Temperature!$AF$11,Temperature!$AI$11,Temperature!$AL$11)</c15:sqref>
                        </c15:formulaRef>
                      </c:ext>
                    </c:extLst>
                    <c:numCache>
                      <c:formatCode>0;\-0;;@</c:formatCode>
                      <c:ptCount val="12"/>
                      <c:pt idx="0">
                        <c:v>-25</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9-1E67-429F-82F7-E90A460DAFD3}"/>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Temperature!$B$12</c15:sqref>
                        </c15:formulaRef>
                      </c:ext>
                    </c:extLst>
                    <c:strCache>
                      <c:ptCount val="1"/>
                      <c:pt idx="0">
                        <c:v>FWG Ejector pump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(Temperature!$E$12,Temperature!$H$12,Temperature!$K$12,Temperature!$N$12,Temperature!$Q$12,Temperature!$T$12,Temperature!$W$12,Temperature!$Z$12,Temperature!$AC$12,Temperature!$AF$12,Temperature!$AI$12,Temperature!$AL$12)</c15:sqref>
                        </c15:formulaRef>
                      </c:ext>
                    </c:extLst>
                    <c:numCache>
                      <c:formatCode>0;\-0;;@</c:formatCode>
                      <c:ptCount val="12"/>
                      <c:pt idx="0">
                        <c:v>11</c:v>
                      </c:pt>
                      <c:pt idx="1">
                        <c:v>2</c:v>
                      </c:pt>
                      <c:pt idx="2">
                        <c:v>9</c:v>
                      </c:pt>
                      <c:pt idx="3">
                        <c:v>11</c:v>
                      </c:pt>
                      <c:pt idx="4">
                        <c:v>16</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A-1E67-429F-82F7-E90A460DAFD3}"/>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Temperature!$B$13</c15:sqref>
                        </c15:formulaRef>
                      </c:ext>
                    </c:extLst>
                    <c:strCache>
                      <c:ptCount val="1"/>
                      <c:pt idx="0">
                        <c:v>No.1 IGG Blower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(Temperature!$E$13,Temperature!$H$13,Temperature!$K$13,Temperature!$N$13,Temperature!$Q$13,Temperature!$T$13,Temperature!$W$13,Temperature!$Z$13,Temperature!$AC$13,Temperature!$AF$13,Temperature!$AI$13,Temperature!$AL$13)</c15:sqref>
                        </c15:formulaRef>
                      </c:ext>
                    </c:extLst>
                    <c:numCache>
                      <c:formatCode>0;\-0;;@</c:formatCode>
                      <c:ptCount val="12"/>
                      <c:pt idx="0">
                        <c:v>-25</c:v>
                      </c:pt>
                      <c:pt idx="1">
                        <c:v>4</c:v>
                      </c:pt>
                      <c:pt idx="2">
                        <c:v>-28</c:v>
                      </c:pt>
                      <c:pt idx="3">
                        <c:v>9</c:v>
                      </c:pt>
                      <c:pt idx="4">
                        <c:v>-28</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B-1E67-429F-82F7-E90A460DAFD3}"/>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Temperature!$B$14</c15:sqref>
                        </c15:formulaRef>
                      </c:ext>
                    </c:extLst>
                    <c:strCache>
                      <c:ptCount val="1"/>
                      <c:pt idx="0">
                        <c:v>No.2 IGG Blower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(Temperature!$E$14,Temperature!$H$14,Temperature!$K$14,Temperature!$N$14,Temperature!$Q$14,Temperature!$T$14,Temperature!$W$14,Temperature!$Z$14,Temperature!$AC$14,Temperature!$AF$14,Temperature!$AI$14,Temperature!$AL$14)</c15:sqref>
                        </c15:formulaRef>
                      </c:ext>
                    </c:extLst>
                    <c:numCache>
                      <c:formatCode>0;\-0;;@</c:formatCode>
                      <c:ptCount val="12"/>
                      <c:pt idx="0">
                        <c:v>8</c:v>
                      </c:pt>
                      <c:pt idx="1">
                        <c:v>-38</c:v>
                      </c:pt>
                      <c:pt idx="2">
                        <c:v>9</c:v>
                      </c:pt>
                      <c:pt idx="3">
                        <c:v>13</c:v>
                      </c:pt>
                      <c:pt idx="4">
                        <c:v>14</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C-1E67-429F-82F7-E90A460DAFD3}"/>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0-1E67-429F-82F7-E90A460DAFD3}"/>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1-1E67-429F-82F7-E90A460DAFD3}"/>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2-1E67-429F-82F7-E90A460DAFD3}"/>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3-1E67-429F-82F7-E90A460DAFD3}"/>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Temperature!$B$17</c15:sqref>
                        </c15:formulaRef>
                      </c:ext>
                    </c:extLst>
                    <c:strCache>
                      <c:ptCount val="1"/>
                      <c:pt idx="0">
                        <c:v>No.1 Deck Seal Pump</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(Temperature!$E$17,Temperature!$H$17,Temperature!$K$17,Temperature!$N$17,Temperature!$Q$17,Temperature!$T$17,Temperature!$W$17,Temperature!$Z$17,Temperature!$AC$17,Temperature!$AF$17,Temperature!$AI$17,Temperature!$AL$17)</c15:sqref>
                        </c15:formulaRef>
                      </c:ext>
                    </c:extLst>
                    <c:numCache>
                      <c:formatCode>0;\-0;;@</c:formatCode>
                      <c:ptCount val="12"/>
                      <c:pt idx="0">
                        <c:v>7</c:v>
                      </c:pt>
                      <c:pt idx="1">
                        <c:v>-38</c:v>
                      </c:pt>
                      <c:pt idx="2">
                        <c:v>8</c:v>
                      </c:pt>
                      <c:pt idx="3">
                        <c:v>8</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F-1E67-429F-82F7-E90A460DAFD3}"/>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Temperature!$B$18</c15:sqref>
                        </c15:formulaRef>
                      </c:ext>
                    </c:extLst>
                    <c:strCache>
                      <c:ptCount val="1"/>
                      <c:pt idx="0">
                        <c:v>No.2 Deck Seal Pump</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(Temperature!$E$18,Temperature!$H$18,Temperature!$K$18,Temperature!$N$18,Temperature!$Q$18,Temperature!$T$18,Temperature!$W$18,Temperature!$Z$18,Temperature!$AC$18,Temperature!$AF$18,Temperature!$AI$18,Temperature!$AL$18)</c15:sqref>
                        </c15:formulaRef>
                      </c:ext>
                    </c:extLst>
                    <c:numCache>
                      <c:formatCode>0;\-0;;@</c:formatCode>
                      <c:ptCount val="12"/>
                      <c:pt idx="0">
                        <c:v>-25</c:v>
                      </c:pt>
                      <c:pt idx="1">
                        <c:v>-1</c:v>
                      </c:pt>
                      <c:pt idx="2">
                        <c:v>-28</c:v>
                      </c:pt>
                      <c:pt idx="3">
                        <c:v>-32</c:v>
                      </c:pt>
                      <c:pt idx="4">
                        <c:v>10</c:v>
                      </c:pt>
                      <c:pt idx="5">
                        <c:v>5</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0-1E67-429F-82F7-E90A460DAFD3}"/>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Temperature!$B$19</c15:sqref>
                        </c15:formulaRef>
                      </c:ext>
                    </c:extLst>
                    <c:strCache>
                      <c:ptCount val="1"/>
                      <c:pt idx="0">
                        <c:v>IGG Scrubber Pump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(Temperature!$E$19,Temperature!$H$19,Temperature!$K$19,Temperature!$N$19,Temperature!$Q$19,Temperature!$T$19,Temperature!$W$19,Temperature!$Z$19,Temperature!$AC$19,Temperature!$AF$19,Temperature!$AI$19,Temperature!$AL$19)</c15:sqref>
                        </c15:formulaRef>
                      </c:ext>
                    </c:extLst>
                    <c:numCache>
                      <c:formatCode>0;\-0;;@</c:formatCode>
                      <c:ptCount val="12"/>
                      <c:pt idx="0">
                        <c:v>13</c:v>
                      </c:pt>
                      <c:pt idx="1">
                        <c:v>2</c:v>
                      </c:pt>
                      <c:pt idx="2">
                        <c:v>10</c:v>
                      </c:pt>
                      <c:pt idx="3">
                        <c:v>12</c:v>
                      </c:pt>
                      <c:pt idx="4">
                        <c:v>12</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1-1E67-429F-82F7-E90A460DAFD3}"/>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Temperature!$B$20</c15:sqref>
                        </c15:formulaRef>
                      </c:ext>
                    </c:extLst>
                    <c:strCache>
                      <c:ptCount val="1"/>
                      <c:pt idx="0">
                        <c:v>No.1 G/E L.O. Priming Pump</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(Temperature!$E$20,Temperature!$H$20,Temperature!$K$20,Temperature!$N$20,Temperature!$Q$20,Temperature!$T$20,Temperature!$W$20,Temperature!$Z$20,Temperature!$AC$20,Temperature!$AF$20,Temperature!$AI$20,Temperature!$AL$20)</c15:sqref>
                        </c15:formulaRef>
                      </c:ext>
                    </c:extLst>
                    <c:numCache>
                      <c:formatCode>0;\-0;;@</c:formatCode>
                      <c:ptCount val="12"/>
                      <c:pt idx="0">
                        <c:v>12</c:v>
                      </c:pt>
                      <c:pt idx="1">
                        <c:v>0</c:v>
                      </c:pt>
                      <c:pt idx="2">
                        <c:v>8</c:v>
                      </c:pt>
                      <c:pt idx="3">
                        <c:v>10</c:v>
                      </c:pt>
                      <c:pt idx="4">
                        <c:v>10</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2-1E67-429F-82F7-E90A460DAFD3}"/>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Temperature!$B$21</c15:sqref>
                        </c15:formulaRef>
                      </c:ext>
                    </c:extLst>
                    <c:strCache>
                      <c:ptCount val="1"/>
                      <c:pt idx="0">
                        <c:v>No.2 G/E L.O. Priming Pump</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(Temperature!$E$21,Temperature!$H$21,Temperature!$K$21,Temperature!$N$21,Temperature!$Q$21,Temperature!$T$21,Temperature!$W$21,Temperature!$Z$21,Temperature!$AC$21,Temperature!$AF$21,Temperature!$AI$21,Temperature!$AL$21)</c15:sqref>
                        </c15:formulaRef>
                      </c:ext>
                    </c:extLst>
                    <c:numCache>
                      <c:formatCode>0;\-0;;@</c:formatCode>
                      <c:ptCount val="12"/>
                      <c:pt idx="0">
                        <c:v>11</c:v>
                      </c:pt>
                      <c:pt idx="1">
                        <c:v>0</c:v>
                      </c:pt>
                      <c:pt idx="2">
                        <c:v>9</c:v>
                      </c:pt>
                      <c:pt idx="3">
                        <c:v>9</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3-1E67-429F-82F7-E90A460DAFD3}"/>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Temperature!$B$22</c15:sqref>
                        </c15:formulaRef>
                      </c:ext>
                    </c:extLst>
                    <c:strCache>
                      <c:ptCount val="1"/>
                      <c:pt idx="0">
                        <c:v>No.3 G/E L.O. Priming Pump</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(Temperature!$E$22,Temperature!$H$22,Temperature!$K$22,Temperature!$N$22,Temperature!$Q$22,Temperature!$T$22,Temperature!$W$22,Temperature!$Z$22,Temperature!$AC$22,Temperature!$AF$22,Temperature!$AI$22,Temperature!$AL$22)</c15:sqref>
                        </c15:formulaRef>
                      </c:ext>
                    </c:extLst>
                    <c:numCache>
                      <c:formatCode>0;\-0;;@</c:formatCode>
                      <c:ptCount val="12"/>
                      <c:pt idx="0">
                        <c:v>10</c:v>
                      </c:pt>
                      <c:pt idx="1">
                        <c:v>-2</c:v>
                      </c:pt>
                      <c:pt idx="2">
                        <c:v>8</c:v>
                      </c:pt>
                      <c:pt idx="3">
                        <c:v>-32</c:v>
                      </c:pt>
                      <c:pt idx="4">
                        <c:v>8</c:v>
                      </c:pt>
                      <c:pt idx="5">
                        <c:v>4</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4-1E67-429F-82F7-E90A460DAFD3}"/>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Temperature!$B$23</c15:sqref>
                        </c15:formulaRef>
                      </c:ext>
                    </c:extLst>
                    <c:strCache>
                      <c:ptCount val="1"/>
                      <c:pt idx="0">
                        <c:v>No.1 M/E FO Circulating Pump</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(Temperature!$E$23,Temperature!$H$23,Temperature!$K$23,Temperature!$N$23,Temperature!$Q$23,Temperature!$T$23,Temperature!$W$23,Temperature!$Z$23,Temperature!$AC$23,Temperature!$AF$23,Temperature!$AI$23,Temperature!$AL$23)</c15:sqref>
                        </c15:formulaRef>
                      </c:ext>
                    </c:extLst>
                    <c:numCache>
                      <c:formatCode>0;\-0;;@</c:formatCode>
                      <c:ptCount val="12"/>
                      <c:pt idx="0">
                        <c:v>-25</c:v>
                      </c:pt>
                      <c:pt idx="1">
                        <c:v>6</c:v>
                      </c:pt>
                      <c:pt idx="2">
                        <c:v>11</c:v>
                      </c:pt>
                      <c:pt idx="3">
                        <c:v>16</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5-1E67-429F-82F7-E90A460DAFD3}"/>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Temperature!$B$24</c15:sqref>
                        </c15:formulaRef>
                      </c:ext>
                    </c:extLst>
                    <c:strCache>
                      <c:ptCount val="1"/>
                      <c:pt idx="0">
                        <c:v>No.2 M/E FO Circulating Pump</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(Temperature!$E$24,Temperature!$H$24,Temperature!$K$24,Temperature!$N$24,Temperature!$Q$24,Temperature!$T$24,Temperature!$W$24,Temperature!$Z$24,Temperature!$AC$24,Temperature!$AF$24,Temperature!$AI$24,Temperature!$AL$24)</c15:sqref>
                        </c15:formulaRef>
                      </c:ext>
                    </c:extLst>
                    <c:numCache>
                      <c:formatCode>0;\-0;;@</c:formatCode>
                      <c:ptCount val="12"/>
                      <c:pt idx="0">
                        <c:v>13</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6-1E67-429F-82F7-E90A460DAFD3}"/>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Temperature!$B$25</c15:sqref>
                        </c15:formulaRef>
                      </c:ext>
                    </c:extLst>
                    <c:strCache>
                      <c:ptCount val="1"/>
                      <c:pt idx="0">
                        <c:v>Economiser Feed water Pump</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(Temperature!$E$25,Temperature!$H$25,Temperature!$K$25,Temperature!$N$25,Temperature!$Q$25,Temperature!$T$25,Temperature!$W$25,Temperature!$Z$25,Temperature!$AC$25,Temperature!$AF$25,Temperature!$AI$25,Temperature!$AL$25)</c15:sqref>
                        </c15:formulaRef>
                      </c:ext>
                    </c:extLst>
                    <c:numCache>
                      <c:formatCode>0;\-0;;@</c:formatCode>
                      <c:ptCount val="12"/>
                      <c:pt idx="0">
                        <c:v>-25</c:v>
                      </c:pt>
                      <c:pt idx="1">
                        <c:v>-38</c:v>
                      </c:pt>
                      <c:pt idx="2">
                        <c:v>-28</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7-1E67-429F-82F7-E90A460DAFD3}"/>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Temperature!$B$26</c15:sqref>
                        </c15:formulaRef>
                      </c:ext>
                    </c:extLst>
                    <c:strCache>
                      <c:ptCount val="1"/>
                      <c:pt idx="0">
                        <c:v>STP Blower </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(Temperature!$E$26,Temperature!$H$26,Temperature!$K$26,Temperature!$N$26,Temperature!$Q$26,Temperature!$T$26,Temperature!$W$26,Temperature!$Z$26,Temperature!$AC$26,Temperature!$AF$26,Temperature!$AI$26,Temperature!$AL$26)</c15:sqref>
                        </c15:formulaRef>
                      </c:ext>
                    </c:extLst>
                    <c:numCache>
                      <c:formatCode>0;\-0;;@</c:formatCode>
                      <c:ptCount val="12"/>
                      <c:pt idx="0">
                        <c:v>11</c:v>
                      </c:pt>
                      <c:pt idx="1">
                        <c:v>6</c:v>
                      </c:pt>
                      <c:pt idx="2">
                        <c:v>7</c:v>
                      </c:pt>
                      <c:pt idx="3">
                        <c:v>7</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8-1E67-429F-82F7-E90A460DAFD3}"/>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Temperature!$B$27</c15:sqref>
                        </c15:formulaRef>
                      </c:ext>
                    </c:extLst>
                    <c:strCache>
                      <c:ptCount val="1"/>
                      <c:pt idx="0">
                        <c:v>STP Discharge Pump</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(Temperature!$E$27,Temperature!$H$27,Temperature!$K$27,Temperature!$N$27,Temperature!$Q$27,Temperature!$T$27,Temperature!$W$27,Temperature!$Z$27,Temperature!$AC$27,Temperature!$AF$27,Temperature!$AI$27,Temperature!$AL$27)</c15:sqref>
                        </c15:formulaRef>
                      </c:ext>
                    </c:extLst>
                    <c:numCache>
                      <c:formatCode>0;\-0;;@</c:formatCode>
                      <c:ptCount val="12"/>
                      <c:pt idx="0">
                        <c:v>9</c:v>
                      </c:pt>
                      <c:pt idx="1">
                        <c:v>1</c:v>
                      </c:pt>
                      <c:pt idx="2">
                        <c:v>6</c:v>
                      </c:pt>
                      <c:pt idx="3">
                        <c:v>10</c:v>
                      </c:pt>
                      <c:pt idx="4">
                        <c:v>8</c:v>
                      </c:pt>
                      <c:pt idx="5">
                        <c:v>7</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9-1E67-429F-82F7-E90A460DAFD3}"/>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Temperature!$B$28</c15:sqref>
                        </c15:formulaRef>
                      </c:ext>
                    </c:extLst>
                    <c:strCache>
                      <c:ptCount val="1"/>
                      <c:pt idx="0">
                        <c:v>STP Ejector Pump #1</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(Temperature!$E$28,Temperature!$H$28,Temperature!$K$28,Temperature!$N$28,Temperature!$Q$28,Temperature!$T$28,Temperature!$W$28,Temperature!$Z$28,Temperature!$AC$28,Temperature!$AF$28,Temperature!$AI$28,Temperature!$AL$28)</c15:sqref>
                        </c15:formulaRef>
                      </c:ext>
                    </c:extLst>
                    <c:numCache>
                      <c:formatCode>0;\-0;;@</c:formatCode>
                      <c:ptCount val="12"/>
                      <c:pt idx="0">
                        <c:v>11</c:v>
                      </c:pt>
                      <c:pt idx="1">
                        <c:v>-38</c:v>
                      </c:pt>
                      <c:pt idx="2">
                        <c:v>5</c:v>
                      </c:pt>
                      <c:pt idx="3">
                        <c:v>9</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A-1E67-429F-82F7-E90A460DAFD3}"/>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Temperature!$B$29</c15:sqref>
                        </c15:formulaRef>
                      </c:ext>
                    </c:extLst>
                    <c:strCache>
                      <c:ptCount val="1"/>
                      <c:pt idx="0">
                        <c:v>STP Ejector Pump #2</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(Temperature!$E$29,Temperature!$H$29,Temperature!$K$29,Temperature!$N$29,Temperature!$Q$29,Temperature!$T$29,Temperature!$W$29,Temperature!$Z$29,Temperature!$AC$29,Temperature!$AF$29,Temperature!$AI$29,Temperature!$AL$29)</c15:sqref>
                        </c15:formulaRef>
                      </c:ext>
                    </c:extLst>
                    <c:numCache>
                      <c:formatCode>0;\-0;;@</c:formatCode>
                      <c:ptCount val="12"/>
                      <c:pt idx="0">
                        <c:v>-25</c:v>
                      </c:pt>
                      <c:pt idx="1">
                        <c:v>4</c:v>
                      </c:pt>
                      <c:pt idx="2">
                        <c:v>5</c:v>
                      </c:pt>
                      <c:pt idx="3">
                        <c:v>10</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B-1E67-429F-82F7-E90A460DAFD3}"/>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Temperature!$B$30</c15:sqref>
                        </c15:formulaRef>
                      </c:ext>
                    </c:extLst>
                    <c:strCache>
                      <c:ptCount val="1"/>
                      <c:pt idx="0">
                        <c:v>No.1 Main LO Pump </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(Temperature!$E$30,Temperature!$H$30,Temperature!$K$30,Temperature!$N$30,Temperature!$Q$30,Temperature!$T$30,Temperature!$W$30,Temperature!$Z$30,Temperature!$AC$30,Temperature!$AF$30,Temperature!$AI$30,Temperature!$AL$30)</c15:sqref>
                        </c15:formulaRef>
                      </c:ext>
                    </c:extLst>
                    <c:numCache>
                      <c:formatCode>0;\-0;;@</c:formatCode>
                      <c:ptCount val="12"/>
                      <c:pt idx="0">
                        <c:v>-25</c:v>
                      </c:pt>
                      <c:pt idx="1">
                        <c:v>6</c:v>
                      </c:pt>
                      <c:pt idx="2">
                        <c:v>-28</c:v>
                      </c:pt>
                      <c:pt idx="3">
                        <c:v>11</c:v>
                      </c:pt>
                      <c:pt idx="4">
                        <c:v>-28</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C-1E67-429F-82F7-E90A460DAFD3}"/>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Temperature!$B$31</c15:sqref>
                        </c15:formulaRef>
                      </c:ext>
                    </c:extLst>
                    <c:strCache>
                      <c:ptCount val="1"/>
                      <c:pt idx="0">
                        <c:v>No.2 Main LO Pump </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(Temperature!$E$31,Temperature!$H$31,Temperature!$K$31,Temperature!$N$31,Temperature!$Q$31,Temperature!$T$31,Temperature!$W$31,Temperature!$Z$31,Temperature!$AC$31,Temperature!$AF$31,Temperature!$AI$31,Temperature!$AL$31)</c15:sqref>
                        </c15:formulaRef>
                      </c:ext>
                    </c:extLst>
                    <c:numCache>
                      <c:formatCode>0;\-0;;@</c:formatCode>
                      <c:ptCount val="12"/>
                      <c:pt idx="0">
                        <c:v>11</c:v>
                      </c:pt>
                      <c:pt idx="1">
                        <c:v>-38</c:v>
                      </c:pt>
                      <c:pt idx="2">
                        <c:v>9</c:v>
                      </c:pt>
                      <c:pt idx="3">
                        <c:v>-32</c:v>
                      </c:pt>
                      <c:pt idx="4">
                        <c:v>12</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D-1E67-429F-82F7-E90A460DAFD3}"/>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Temperature!$B$32</c15:sqref>
                        </c15:formulaRef>
                      </c:ext>
                    </c:extLst>
                    <c:strCache>
                      <c:ptCount val="1"/>
                      <c:pt idx="0">
                        <c:v>No.1 Steering Gear</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(Temperature!$E$32,Temperature!$H$32,Temperature!$K$32,Temperature!$N$32,Temperature!$Q$32,Temperature!$T$32,Temperature!$W$32,Temperature!$Z$32,Temperature!$AC$32,Temperature!$AF$32,Temperature!$AI$32,Temperature!$AL$32)</c15:sqref>
                        </c15:formulaRef>
                      </c:ext>
                    </c:extLst>
                    <c:numCache>
                      <c:formatCode>0;\-0;;@</c:formatCode>
                      <c:ptCount val="12"/>
                      <c:pt idx="0">
                        <c:v>11</c:v>
                      </c:pt>
                      <c:pt idx="1">
                        <c:v>4</c:v>
                      </c:pt>
                      <c:pt idx="2">
                        <c:v>10</c:v>
                      </c:pt>
                      <c:pt idx="3">
                        <c:v>10</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E-1E67-429F-82F7-E90A460DAFD3}"/>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Temperature!$B$33</c15:sqref>
                        </c15:formulaRef>
                      </c:ext>
                    </c:extLst>
                    <c:strCache>
                      <c:ptCount val="1"/>
                      <c:pt idx="0">
                        <c:v>No.2 Steering Gear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(Temperature!$E$33,Temperature!$H$33,Temperature!$K$33,Temperature!$N$33,Temperature!$Q$33,Temperature!$T$33,Temperature!$W$33,Temperature!$Z$33,Temperature!$AC$33,Temperature!$AF$33,Temperature!$AI$33,Temperature!$AL$33)</c15:sqref>
                        </c15:formulaRef>
                      </c:ext>
                    </c:extLst>
                    <c:numCache>
                      <c:formatCode>0;\-0;;@</c:formatCode>
                      <c:ptCount val="12"/>
                      <c:pt idx="0">
                        <c:v>12</c:v>
                      </c:pt>
                      <c:pt idx="1">
                        <c:v>4</c:v>
                      </c:pt>
                      <c:pt idx="2">
                        <c:v>10</c:v>
                      </c:pt>
                      <c:pt idx="3">
                        <c:v>11</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F-1E67-429F-82F7-E90A460DAFD3}"/>
                  </c:ext>
                </c:extLst>
              </c15:ser>
            </c15:filteredLineSeries>
          </c:ext>
        </c:extLst>
      </c:lineChart>
      <c:catAx>
        <c:axId val="40000896"/>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18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0031360"/>
        <c:crosses val="autoZero"/>
        <c:auto val="1"/>
        <c:lblAlgn val="ctr"/>
        <c:lblOffset val="100"/>
        <c:noMultiLvlLbl val="0"/>
      </c:catAx>
      <c:valAx>
        <c:axId val="400313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0000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SG" sz="2000" b="1" baseline="0"/>
              <a:t>Deck Seal Pump-Diff from E/R Temp</a:t>
            </a:r>
            <a:endParaRPr lang="en-SG" sz="2000" b="1"/>
          </a:p>
        </c:rich>
      </c:tx>
      <c:layout>
        <c:manualLayout>
          <c:xMode val="edge"/>
          <c:yMode val="edge"/>
          <c:x val="0.32106479581047837"/>
          <c:y val="1.24031007751938E-2"/>
        </c:manualLayout>
      </c:layout>
      <c:overlay val="0"/>
      <c:spPr>
        <a:noFill/>
        <a:ln>
          <a:noFill/>
        </a:ln>
        <a:effectLst/>
      </c:spPr>
    </c:title>
    <c:autoTitleDeleted val="0"/>
    <c:plotArea>
      <c:layout>
        <c:manualLayout>
          <c:layoutTarget val="inner"/>
          <c:xMode val="edge"/>
          <c:yMode val="edge"/>
          <c:x val="2.6217571037680958E-2"/>
          <c:y val="9.1239657494952914E-2"/>
          <c:w val="0.9667262001249286"/>
          <c:h val="0.67534297747665262"/>
        </c:manualLayout>
      </c:layout>
      <c:lineChart>
        <c:grouping val="standard"/>
        <c:varyColors val="0"/>
        <c:ser>
          <c:idx val="15"/>
          <c:order val="15"/>
          <c:tx>
            <c:strRef>
              <c:f>Temperature!$B$17</c:f>
              <c:strCache>
                <c:ptCount val="1"/>
                <c:pt idx="0">
                  <c:v>No.1 Deck Seal Pump</c:v>
                </c:pt>
              </c:strCache>
              <c:extLst xmlns:c15="http://schemas.microsoft.com/office/drawing/2012/chart"/>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(Temperature!$E$17,Temperature!$H$17,Temperature!$K$17,Temperature!$N$17,Temperature!$Q$17,Temperature!$T$17,Temperature!$W$17,Temperature!$Z$17,Temperature!$AC$17,Temperature!$AF$17,Temperature!$AI$17,Temperature!$AL$17)</c:f>
              <c:numCache>
                <c:formatCode>0;\-0;;@</c:formatCode>
                <c:ptCount val="12"/>
                <c:pt idx="0">
                  <c:v>7</c:v>
                </c:pt>
                <c:pt idx="1">
                  <c:v>-38</c:v>
                </c:pt>
                <c:pt idx="2">
                  <c:v>8</c:v>
                </c:pt>
                <c:pt idx="3">
                  <c:v>8</c:v>
                </c:pt>
                <c:pt idx="4">
                  <c:v>-28</c:v>
                </c:pt>
                <c:pt idx="5">
                  <c:v>-32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0F-AC39-4317-8A3A-817311AE9B64}"/>
            </c:ext>
          </c:extLst>
        </c:ser>
        <c:ser>
          <c:idx val="16"/>
          <c:order val="16"/>
          <c:tx>
            <c:strRef>
              <c:f>Temperature!$B$18</c:f>
              <c:strCache>
                <c:ptCount val="1"/>
                <c:pt idx="0">
                  <c:v>No.2 Deck Seal Pump</c:v>
                </c:pt>
              </c:strCache>
              <c:extLst xmlns:c15="http://schemas.microsoft.com/office/drawing/2012/chart"/>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(Temperature!$E$18,Temperature!$H$18,Temperature!$K$18,Temperature!$N$18,Temperature!$Q$18,Temperature!$T$18,Temperature!$W$18,Temperature!$Z$18,Temperature!$AC$18,Temperature!$AF$18,Temperature!$AI$18,Temperature!$AL$18)</c:f>
              <c:numCache>
                <c:formatCode>0;\-0;;@</c:formatCode>
                <c:ptCount val="12"/>
                <c:pt idx="0">
                  <c:v>-25</c:v>
                </c:pt>
                <c:pt idx="1">
                  <c:v>-1</c:v>
                </c:pt>
                <c:pt idx="2">
                  <c:v>-28</c:v>
                </c:pt>
                <c:pt idx="3">
                  <c:v>-32</c:v>
                </c:pt>
                <c:pt idx="4">
                  <c:v>10</c:v>
                </c:pt>
                <c:pt idx="5">
                  <c:v>5</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0-AC39-4317-8A3A-817311AE9B64}"/>
            </c:ext>
          </c:extLst>
        </c:ser>
        <c:dLbls>
          <c:showLegendKey val="0"/>
          <c:showVal val="0"/>
          <c:showCatName val="0"/>
          <c:showSerName val="0"/>
          <c:showPercent val="0"/>
          <c:showBubbleSize val="0"/>
        </c:dLbls>
        <c:marker val="1"/>
        <c:smooth val="0"/>
        <c:axId val="40357248"/>
        <c:axId val="40363136"/>
        <c:extLst>
          <c:ext xmlns:c15="http://schemas.microsoft.com/office/drawing/2012/chart" uri="{02D57815-91ED-43cb-92C2-25804820EDAC}">
            <c15:filteredLineSeries>
              <c15:ser>
                <c:idx val="0"/>
                <c:order val="0"/>
                <c:tx>
                  <c:strRef>
                    <c:extLst>
                      <c:ext uri="{02D57815-91ED-43cb-92C2-25804820EDAC}">
                        <c15:formulaRef>
                          <c15:sqref>Temperature!$B$6</c15:sqref>
                        </c15:formulaRef>
                      </c:ext>
                    </c:extLst>
                    <c:strCache>
                      <c:ptCount val="1"/>
                      <c:pt idx="0">
                        <c:v>E/R Temperature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extLst>
                      <c:ex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c:ext uri="{02D57815-91ED-43cb-92C2-25804820EDAC}">
                        <c15:formulaRef>
                          <c15:sqref>(Temperature!$E$6,Temperature!$H$6,Temperature!$K$6,Temperature!$N$6,Temperature!$Q$6,Temperature!$T$6,Temperature!$W$6,Temperature!$Z$6,Temperature!$AC$6,Temperature!$AF$6,Temperature!$AI$6,Temperature!$AL$6)</c15:sqref>
                        </c15:formulaRef>
                      </c:ext>
                    </c:extLst>
                    <c:numCache>
                      <c:formatCode>0;\-0;;@</c:formatCode>
                      <c:ptCount val="12"/>
                    </c:numCache>
                  </c:numRef>
                </c:val>
                <c:smooth val="0"/>
                <c:extLst>
                  <c:ext xmlns:c16="http://schemas.microsoft.com/office/drawing/2014/chart" uri="{C3380CC4-5D6E-409C-BE32-E72D297353CC}">
                    <c16:uniqueId val="{00000004-AC39-4317-8A3A-817311AE9B6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Temperature!$B$7</c15:sqref>
                        </c15:formulaRef>
                      </c:ext>
                    </c:extLst>
                    <c:strCache>
                      <c:ptCount val="1"/>
                      <c:pt idx="0">
                        <c:v>No.1 Main Air Compressor</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(Temperature!$E$7,Temperature!$H$7,Temperature!$K$7,Temperature!$N$7,Temperature!$Q$7,Temperature!$T$7,Temperature!$W$7,Temperature!$Z$7,Temperature!$AC$7,Temperature!$AF$7,Temperature!$AI$7,Temperature!$AL$7)</c15:sqref>
                        </c15:formulaRef>
                      </c:ext>
                    </c:extLst>
                    <c:numCache>
                      <c:formatCode>0;\-0;;@</c:formatCode>
                      <c:ptCount val="12"/>
                      <c:pt idx="0">
                        <c:v>13</c:v>
                      </c:pt>
                      <c:pt idx="1">
                        <c:v>6</c:v>
                      </c:pt>
                      <c:pt idx="2">
                        <c:v>9</c:v>
                      </c:pt>
                      <c:pt idx="3">
                        <c:v>11</c:v>
                      </c:pt>
                      <c:pt idx="4">
                        <c:v>14</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5-AC39-4317-8A3A-817311AE9B6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Temperature!$B$8</c15:sqref>
                        </c15:formulaRef>
                      </c:ext>
                    </c:extLst>
                    <c:strCache>
                      <c:ptCount val="1"/>
                      <c:pt idx="0">
                        <c:v>No.2 Main Air Compressor</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(Temperature!$E$8,Temperature!$H$8,Temperature!$K$8,Temperature!$N$8,Temperature!$Q$8,Temperature!$T$8,Temperature!$W$8,Temperature!$Z$8,Temperature!$AC$8,Temperature!$AF$8,Temperature!$AI$8,Temperature!$AL$8)</c15:sqref>
                        </c15:formulaRef>
                      </c:ext>
                    </c:extLst>
                    <c:numCache>
                      <c:formatCode>0;\-0;;@</c:formatCode>
                      <c:ptCount val="12"/>
                      <c:pt idx="0">
                        <c:v>11</c:v>
                      </c:pt>
                      <c:pt idx="1">
                        <c:v>6</c:v>
                      </c:pt>
                      <c:pt idx="2">
                        <c:v>10</c:v>
                      </c:pt>
                      <c:pt idx="3">
                        <c:v>12</c:v>
                      </c:pt>
                      <c:pt idx="4">
                        <c:v>12</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AC39-4317-8A3A-817311AE9B6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Temperature!$B$9</c15:sqref>
                        </c15:formulaRef>
                      </c:ext>
                    </c:extLst>
                    <c:strCache>
                      <c:ptCount val="1"/>
                      <c:pt idx="0">
                        <c:v>No.1 Main Cooling S.W. Pump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(Temperature!$E$9,Temperature!$H$9,Temperature!$K$9,Temperature!$N$9,Temperature!$Q$9,Temperature!$T$9,Temperature!$W$9,Temperature!$Z$9,Temperature!$AC$9,Temperature!$AF$9,Temperature!$AI$9,Temperature!$AL$9)</c15:sqref>
                        </c15:formulaRef>
                      </c:ext>
                    </c:extLst>
                    <c:numCache>
                      <c:formatCode>0;\-0;;@</c:formatCode>
                      <c:ptCount val="12"/>
                      <c:pt idx="0">
                        <c:v>10</c:v>
                      </c:pt>
                      <c:pt idx="1">
                        <c:v>-38</c:v>
                      </c:pt>
                      <c:pt idx="2">
                        <c:v>11</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7-AC39-4317-8A3A-817311AE9B64}"/>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Temperature!$B$10</c15:sqref>
                        </c15:formulaRef>
                      </c:ext>
                    </c:extLst>
                    <c:strCache>
                      <c:ptCount val="1"/>
                      <c:pt idx="0">
                        <c:v>No.2 Main Cooling S.W. Pump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(Temperature!$E$10,Temperature!$H$10,Temperature!$K$10,Temperature!$N$10,Temperature!$Q$10,Temperature!$T$10,Temperature!$W$10,Temperature!$Z$10,Temperature!$AC$10,Temperature!$AF$10,Temperature!$AI$10,Temperature!$AL$10)</c15:sqref>
                        </c15:formulaRef>
                      </c:ext>
                    </c:extLst>
                    <c:numCache>
                      <c:formatCode>0;\-0;;@</c:formatCode>
                      <c:ptCount val="12"/>
                      <c:pt idx="0">
                        <c:v>-25</c:v>
                      </c:pt>
                      <c:pt idx="1">
                        <c:v>4</c:v>
                      </c:pt>
                      <c:pt idx="2">
                        <c:v>-28</c:v>
                      </c:pt>
                      <c:pt idx="3">
                        <c:v>-32</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8-AC39-4317-8A3A-817311AE9B6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Temperature!$B$11</c15:sqref>
                        </c15:formulaRef>
                      </c:ext>
                    </c:extLst>
                    <c:strCache>
                      <c:ptCount val="1"/>
                      <c:pt idx="0">
                        <c:v>No.3 Main Cooling S.W. Pump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(Temperature!$E$11,Temperature!$H$11,Temperature!$K$11,Temperature!$N$11,Temperature!$Q$11,Temperature!$T$11,Temperature!$W$11,Temperature!$Z$11,Temperature!$AC$11,Temperature!$AF$11,Temperature!$AI$11,Temperature!$AL$11)</c15:sqref>
                        </c15:formulaRef>
                      </c:ext>
                    </c:extLst>
                    <c:numCache>
                      <c:formatCode>0;\-0;;@</c:formatCode>
                      <c:ptCount val="12"/>
                      <c:pt idx="0">
                        <c:v>-25</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9-AC39-4317-8A3A-817311AE9B6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Temperature!$B$12</c15:sqref>
                        </c15:formulaRef>
                      </c:ext>
                    </c:extLst>
                    <c:strCache>
                      <c:ptCount val="1"/>
                      <c:pt idx="0">
                        <c:v>FWG Ejector pump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(Temperature!$E$12,Temperature!$H$12,Temperature!$K$12,Temperature!$N$12,Temperature!$Q$12,Temperature!$T$12,Temperature!$W$12,Temperature!$Z$12,Temperature!$AC$12,Temperature!$AF$12,Temperature!$AI$12,Temperature!$AL$12)</c15:sqref>
                        </c15:formulaRef>
                      </c:ext>
                    </c:extLst>
                    <c:numCache>
                      <c:formatCode>0;\-0;;@</c:formatCode>
                      <c:ptCount val="12"/>
                      <c:pt idx="0">
                        <c:v>11</c:v>
                      </c:pt>
                      <c:pt idx="1">
                        <c:v>2</c:v>
                      </c:pt>
                      <c:pt idx="2">
                        <c:v>9</c:v>
                      </c:pt>
                      <c:pt idx="3">
                        <c:v>11</c:v>
                      </c:pt>
                      <c:pt idx="4">
                        <c:v>16</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A-AC39-4317-8A3A-817311AE9B64}"/>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Temperature!$B$13</c15:sqref>
                        </c15:formulaRef>
                      </c:ext>
                    </c:extLst>
                    <c:strCache>
                      <c:ptCount val="1"/>
                      <c:pt idx="0">
                        <c:v>No.1 IGG Blower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(Temperature!$E$13,Temperature!$H$13,Temperature!$K$13,Temperature!$N$13,Temperature!$Q$13,Temperature!$T$13,Temperature!$W$13,Temperature!$Z$13,Temperature!$AC$13,Temperature!$AF$13,Temperature!$AI$13,Temperature!$AL$13)</c15:sqref>
                        </c15:formulaRef>
                      </c:ext>
                    </c:extLst>
                    <c:numCache>
                      <c:formatCode>0;\-0;;@</c:formatCode>
                      <c:ptCount val="12"/>
                      <c:pt idx="0">
                        <c:v>-25</c:v>
                      </c:pt>
                      <c:pt idx="1">
                        <c:v>4</c:v>
                      </c:pt>
                      <c:pt idx="2">
                        <c:v>-28</c:v>
                      </c:pt>
                      <c:pt idx="3">
                        <c:v>9</c:v>
                      </c:pt>
                      <c:pt idx="4">
                        <c:v>-28</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B-AC39-4317-8A3A-817311AE9B64}"/>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Temperature!$B$14</c15:sqref>
                        </c15:formulaRef>
                      </c:ext>
                    </c:extLst>
                    <c:strCache>
                      <c:ptCount val="1"/>
                      <c:pt idx="0">
                        <c:v>No.2 IGG Blower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(Temperature!$E$14,Temperature!$H$14,Temperature!$K$14,Temperature!$N$14,Temperature!$Q$14,Temperature!$T$14,Temperature!$W$14,Temperature!$Z$14,Temperature!$AC$14,Temperature!$AF$14,Temperature!$AI$14,Temperature!$AL$14)</c15:sqref>
                        </c15:formulaRef>
                      </c:ext>
                    </c:extLst>
                    <c:numCache>
                      <c:formatCode>0;\-0;;@</c:formatCode>
                      <c:ptCount val="12"/>
                      <c:pt idx="0">
                        <c:v>8</c:v>
                      </c:pt>
                      <c:pt idx="1">
                        <c:v>-38</c:v>
                      </c:pt>
                      <c:pt idx="2">
                        <c:v>9</c:v>
                      </c:pt>
                      <c:pt idx="3">
                        <c:v>13</c:v>
                      </c:pt>
                      <c:pt idx="4">
                        <c:v>14</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C-AC39-4317-8A3A-817311AE9B64}"/>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0-AC39-4317-8A3A-817311AE9B64}"/>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1-AC39-4317-8A3A-817311AE9B64}"/>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2-AC39-4317-8A3A-817311AE9B64}"/>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3-AC39-4317-8A3A-817311AE9B64}"/>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Temperature!$B$15</c15:sqref>
                        </c15:formulaRef>
                      </c:ext>
                    </c:extLst>
                    <c:strCache>
                      <c:ptCount val="1"/>
                      <c:pt idx="0">
                        <c:v>Incinerator Flue Gas Fan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(Temperature!$E$15,Temperature!$H$15,Temperature!$K$15,Temperature!$N$15,Temperature!$Q$15,Temperature!$T$15,Temperature!$W$15,Temperature!$Z$15,Temperature!$AC$15,Temperature!$AF$15,Temperature!$AI$15,Temperature!$AL$15)</c15:sqref>
                        </c15:formulaRef>
                      </c:ext>
                    </c:extLst>
                    <c:numCache>
                      <c:formatCode>0;\-0;;@</c:formatCode>
                      <c:ptCount val="12"/>
                      <c:pt idx="0">
                        <c:v>9</c:v>
                      </c:pt>
                      <c:pt idx="1">
                        <c:v>4</c:v>
                      </c:pt>
                      <c:pt idx="2">
                        <c:v>8</c:v>
                      </c:pt>
                      <c:pt idx="3">
                        <c:v>9</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D-AC39-4317-8A3A-817311AE9B64}"/>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Temperature!$B$16</c15:sqref>
                        </c15:formulaRef>
                      </c:ext>
                    </c:extLst>
                    <c:strCache>
                      <c:ptCount val="1"/>
                      <c:pt idx="0">
                        <c:v>Incinerator Blower Motor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(Temperature!$E$16,Temperature!$H$16,Temperature!$K$16,Temperature!$N$16,Temperature!$Q$16,Temperature!$T$16,Temperature!$W$16,Temperature!$Z$16,Temperature!$AC$16,Temperature!$AF$16,Temperature!$AI$16,Temperature!$AL$16)</c15:sqref>
                        </c15:formulaRef>
                      </c:ext>
                    </c:extLst>
                    <c:numCache>
                      <c:formatCode>0;\-0;;@</c:formatCode>
                      <c:ptCount val="12"/>
                      <c:pt idx="0">
                        <c:v>10</c:v>
                      </c:pt>
                      <c:pt idx="1">
                        <c:v>0</c:v>
                      </c:pt>
                      <c:pt idx="2">
                        <c:v>7</c:v>
                      </c:pt>
                      <c:pt idx="3">
                        <c:v>10</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E-AC39-4317-8A3A-817311AE9B64}"/>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Temperature!$B$19</c15:sqref>
                        </c15:formulaRef>
                      </c:ext>
                    </c:extLst>
                    <c:strCache>
                      <c:ptCount val="1"/>
                      <c:pt idx="0">
                        <c:v>IGG Scrubber Pump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(Temperature!$E$19,Temperature!$H$19,Temperature!$K$19,Temperature!$N$19,Temperature!$Q$19,Temperature!$T$19,Temperature!$W$19,Temperature!$Z$19,Temperature!$AC$19,Temperature!$AF$19,Temperature!$AI$19,Temperature!$AL$19)</c15:sqref>
                        </c15:formulaRef>
                      </c:ext>
                    </c:extLst>
                    <c:numCache>
                      <c:formatCode>0;\-0;;@</c:formatCode>
                      <c:ptCount val="12"/>
                      <c:pt idx="0">
                        <c:v>13</c:v>
                      </c:pt>
                      <c:pt idx="1">
                        <c:v>2</c:v>
                      </c:pt>
                      <c:pt idx="2">
                        <c:v>10</c:v>
                      </c:pt>
                      <c:pt idx="3">
                        <c:v>12</c:v>
                      </c:pt>
                      <c:pt idx="4">
                        <c:v>12</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1-AC39-4317-8A3A-817311AE9B64}"/>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Temperature!$B$20</c15:sqref>
                        </c15:formulaRef>
                      </c:ext>
                    </c:extLst>
                    <c:strCache>
                      <c:ptCount val="1"/>
                      <c:pt idx="0">
                        <c:v>No.1 G/E L.O. Priming Pump</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(Temperature!$E$20,Temperature!$H$20,Temperature!$K$20,Temperature!$N$20,Temperature!$Q$20,Temperature!$T$20,Temperature!$W$20,Temperature!$Z$20,Temperature!$AC$20,Temperature!$AF$20,Temperature!$AI$20,Temperature!$AL$20)</c15:sqref>
                        </c15:formulaRef>
                      </c:ext>
                    </c:extLst>
                    <c:numCache>
                      <c:formatCode>0;\-0;;@</c:formatCode>
                      <c:ptCount val="12"/>
                      <c:pt idx="0">
                        <c:v>12</c:v>
                      </c:pt>
                      <c:pt idx="1">
                        <c:v>0</c:v>
                      </c:pt>
                      <c:pt idx="2">
                        <c:v>8</c:v>
                      </c:pt>
                      <c:pt idx="3">
                        <c:v>10</c:v>
                      </c:pt>
                      <c:pt idx="4">
                        <c:v>10</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2-AC39-4317-8A3A-817311AE9B64}"/>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Temperature!$B$21</c15:sqref>
                        </c15:formulaRef>
                      </c:ext>
                    </c:extLst>
                    <c:strCache>
                      <c:ptCount val="1"/>
                      <c:pt idx="0">
                        <c:v>No.2 G/E L.O. Priming Pump</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(Temperature!$E$21,Temperature!$H$21,Temperature!$K$21,Temperature!$N$21,Temperature!$Q$21,Temperature!$T$21,Temperature!$W$21,Temperature!$Z$21,Temperature!$AC$21,Temperature!$AF$21,Temperature!$AI$21,Temperature!$AL$21)</c15:sqref>
                        </c15:formulaRef>
                      </c:ext>
                    </c:extLst>
                    <c:numCache>
                      <c:formatCode>0;\-0;;@</c:formatCode>
                      <c:ptCount val="12"/>
                      <c:pt idx="0">
                        <c:v>11</c:v>
                      </c:pt>
                      <c:pt idx="1">
                        <c:v>0</c:v>
                      </c:pt>
                      <c:pt idx="2">
                        <c:v>9</c:v>
                      </c:pt>
                      <c:pt idx="3">
                        <c:v>9</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3-AC39-4317-8A3A-817311AE9B64}"/>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Temperature!$B$22</c15:sqref>
                        </c15:formulaRef>
                      </c:ext>
                    </c:extLst>
                    <c:strCache>
                      <c:ptCount val="1"/>
                      <c:pt idx="0">
                        <c:v>No.3 G/E L.O. Priming Pump</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(Temperature!$E$22,Temperature!$H$22,Temperature!$K$22,Temperature!$N$22,Temperature!$Q$22,Temperature!$T$22,Temperature!$W$22,Temperature!$Z$22,Temperature!$AC$22,Temperature!$AF$22,Temperature!$AI$22,Temperature!$AL$22)</c15:sqref>
                        </c15:formulaRef>
                      </c:ext>
                    </c:extLst>
                    <c:numCache>
                      <c:formatCode>0;\-0;;@</c:formatCode>
                      <c:ptCount val="12"/>
                      <c:pt idx="0">
                        <c:v>10</c:v>
                      </c:pt>
                      <c:pt idx="1">
                        <c:v>-2</c:v>
                      </c:pt>
                      <c:pt idx="2">
                        <c:v>8</c:v>
                      </c:pt>
                      <c:pt idx="3">
                        <c:v>-32</c:v>
                      </c:pt>
                      <c:pt idx="4">
                        <c:v>8</c:v>
                      </c:pt>
                      <c:pt idx="5">
                        <c:v>4</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4-AC39-4317-8A3A-817311AE9B64}"/>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Temperature!$B$23</c15:sqref>
                        </c15:formulaRef>
                      </c:ext>
                    </c:extLst>
                    <c:strCache>
                      <c:ptCount val="1"/>
                      <c:pt idx="0">
                        <c:v>No.1 M/E FO Circulating Pump</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(Temperature!$E$23,Temperature!$H$23,Temperature!$K$23,Temperature!$N$23,Temperature!$Q$23,Temperature!$T$23,Temperature!$W$23,Temperature!$Z$23,Temperature!$AC$23,Temperature!$AF$23,Temperature!$AI$23,Temperature!$AL$23)</c15:sqref>
                        </c15:formulaRef>
                      </c:ext>
                    </c:extLst>
                    <c:numCache>
                      <c:formatCode>0;\-0;;@</c:formatCode>
                      <c:ptCount val="12"/>
                      <c:pt idx="0">
                        <c:v>-25</c:v>
                      </c:pt>
                      <c:pt idx="1">
                        <c:v>6</c:v>
                      </c:pt>
                      <c:pt idx="2">
                        <c:v>11</c:v>
                      </c:pt>
                      <c:pt idx="3">
                        <c:v>16</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5-AC39-4317-8A3A-817311AE9B64}"/>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Temperature!$B$24</c15:sqref>
                        </c15:formulaRef>
                      </c:ext>
                    </c:extLst>
                    <c:strCache>
                      <c:ptCount val="1"/>
                      <c:pt idx="0">
                        <c:v>No.2 M/E FO Circulating Pump</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(Temperature!$E$24,Temperature!$H$24,Temperature!$K$24,Temperature!$N$24,Temperature!$Q$24,Temperature!$T$24,Temperature!$W$24,Temperature!$Z$24,Temperature!$AC$24,Temperature!$AF$24,Temperature!$AI$24,Temperature!$AL$24)</c15:sqref>
                        </c15:formulaRef>
                      </c:ext>
                    </c:extLst>
                    <c:numCache>
                      <c:formatCode>0;\-0;;@</c:formatCode>
                      <c:ptCount val="12"/>
                      <c:pt idx="0">
                        <c:v>13</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6-AC39-4317-8A3A-817311AE9B64}"/>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Temperature!$B$25</c15:sqref>
                        </c15:formulaRef>
                      </c:ext>
                    </c:extLst>
                    <c:strCache>
                      <c:ptCount val="1"/>
                      <c:pt idx="0">
                        <c:v>Economiser Feed water Pump</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(Temperature!$E$25,Temperature!$H$25,Temperature!$K$25,Temperature!$N$25,Temperature!$Q$25,Temperature!$T$25,Temperature!$W$25,Temperature!$Z$25,Temperature!$AC$25,Temperature!$AF$25,Temperature!$AI$25,Temperature!$AL$25)</c15:sqref>
                        </c15:formulaRef>
                      </c:ext>
                    </c:extLst>
                    <c:numCache>
                      <c:formatCode>0;\-0;;@</c:formatCode>
                      <c:ptCount val="12"/>
                      <c:pt idx="0">
                        <c:v>-25</c:v>
                      </c:pt>
                      <c:pt idx="1">
                        <c:v>-38</c:v>
                      </c:pt>
                      <c:pt idx="2">
                        <c:v>-28</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7-AC39-4317-8A3A-817311AE9B64}"/>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Temperature!$B$26</c15:sqref>
                        </c15:formulaRef>
                      </c:ext>
                    </c:extLst>
                    <c:strCache>
                      <c:ptCount val="1"/>
                      <c:pt idx="0">
                        <c:v>STP Blower </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(Temperature!$E$26,Temperature!$H$26,Temperature!$K$26,Temperature!$N$26,Temperature!$Q$26,Temperature!$T$26,Temperature!$W$26,Temperature!$Z$26,Temperature!$AC$26,Temperature!$AF$26,Temperature!$AI$26,Temperature!$AL$26)</c15:sqref>
                        </c15:formulaRef>
                      </c:ext>
                    </c:extLst>
                    <c:numCache>
                      <c:formatCode>0;\-0;;@</c:formatCode>
                      <c:ptCount val="12"/>
                      <c:pt idx="0">
                        <c:v>11</c:v>
                      </c:pt>
                      <c:pt idx="1">
                        <c:v>6</c:v>
                      </c:pt>
                      <c:pt idx="2">
                        <c:v>7</c:v>
                      </c:pt>
                      <c:pt idx="3">
                        <c:v>7</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8-AC39-4317-8A3A-817311AE9B64}"/>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Temperature!$B$27</c15:sqref>
                        </c15:formulaRef>
                      </c:ext>
                    </c:extLst>
                    <c:strCache>
                      <c:ptCount val="1"/>
                      <c:pt idx="0">
                        <c:v>STP Discharge Pump</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(Temperature!$E$27,Temperature!$H$27,Temperature!$K$27,Temperature!$N$27,Temperature!$Q$27,Temperature!$T$27,Temperature!$W$27,Temperature!$Z$27,Temperature!$AC$27,Temperature!$AF$27,Temperature!$AI$27,Temperature!$AL$27)</c15:sqref>
                        </c15:formulaRef>
                      </c:ext>
                    </c:extLst>
                    <c:numCache>
                      <c:formatCode>0;\-0;;@</c:formatCode>
                      <c:ptCount val="12"/>
                      <c:pt idx="0">
                        <c:v>9</c:v>
                      </c:pt>
                      <c:pt idx="1">
                        <c:v>1</c:v>
                      </c:pt>
                      <c:pt idx="2">
                        <c:v>6</c:v>
                      </c:pt>
                      <c:pt idx="3">
                        <c:v>10</c:v>
                      </c:pt>
                      <c:pt idx="4">
                        <c:v>8</c:v>
                      </c:pt>
                      <c:pt idx="5">
                        <c:v>7</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9-AC39-4317-8A3A-817311AE9B64}"/>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Temperature!$B$28</c15:sqref>
                        </c15:formulaRef>
                      </c:ext>
                    </c:extLst>
                    <c:strCache>
                      <c:ptCount val="1"/>
                      <c:pt idx="0">
                        <c:v>STP Ejector Pump #1</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(Temperature!$E$28,Temperature!$H$28,Temperature!$K$28,Temperature!$N$28,Temperature!$Q$28,Temperature!$T$28,Temperature!$W$28,Temperature!$Z$28,Temperature!$AC$28,Temperature!$AF$28,Temperature!$AI$28,Temperature!$AL$28)</c15:sqref>
                        </c15:formulaRef>
                      </c:ext>
                    </c:extLst>
                    <c:numCache>
                      <c:formatCode>0;\-0;;@</c:formatCode>
                      <c:ptCount val="12"/>
                      <c:pt idx="0">
                        <c:v>11</c:v>
                      </c:pt>
                      <c:pt idx="1">
                        <c:v>-38</c:v>
                      </c:pt>
                      <c:pt idx="2">
                        <c:v>5</c:v>
                      </c:pt>
                      <c:pt idx="3">
                        <c:v>9</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A-AC39-4317-8A3A-817311AE9B64}"/>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Temperature!$B$29</c15:sqref>
                        </c15:formulaRef>
                      </c:ext>
                    </c:extLst>
                    <c:strCache>
                      <c:ptCount val="1"/>
                      <c:pt idx="0">
                        <c:v>STP Ejector Pump #2</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(Temperature!$E$29,Temperature!$H$29,Temperature!$K$29,Temperature!$N$29,Temperature!$Q$29,Temperature!$T$29,Temperature!$W$29,Temperature!$Z$29,Temperature!$AC$29,Temperature!$AF$29,Temperature!$AI$29,Temperature!$AL$29)</c15:sqref>
                        </c15:formulaRef>
                      </c:ext>
                    </c:extLst>
                    <c:numCache>
                      <c:formatCode>0;\-0;;@</c:formatCode>
                      <c:ptCount val="12"/>
                      <c:pt idx="0">
                        <c:v>-25</c:v>
                      </c:pt>
                      <c:pt idx="1">
                        <c:v>4</c:v>
                      </c:pt>
                      <c:pt idx="2">
                        <c:v>5</c:v>
                      </c:pt>
                      <c:pt idx="3">
                        <c:v>10</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B-AC39-4317-8A3A-817311AE9B64}"/>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Temperature!$B$30</c15:sqref>
                        </c15:formulaRef>
                      </c:ext>
                    </c:extLst>
                    <c:strCache>
                      <c:ptCount val="1"/>
                      <c:pt idx="0">
                        <c:v>No.1 Main LO Pump </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(Temperature!$E$30,Temperature!$H$30,Temperature!$K$30,Temperature!$N$30,Temperature!$Q$30,Temperature!$T$30,Temperature!$W$30,Temperature!$Z$30,Temperature!$AC$30,Temperature!$AF$30,Temperature!$AI$30,Temperature!$AL$30)</c15:sqref>
                        </c15:formulaRef>
                      </c:ext>
                    </c:extLst>
                    <c:numCache>
                      <c:formatCode>0;\-0;;@</c:formatCode>
                      <c:ptCount val="12"/>
                      <c:pt idx="0">
                        <c:v>-25</c:v>
                      </c:pt>
                      <c:pt idx="1">
                        <c:v>6</c:v>
                      </c:pt>
                      <c:pt idx="2">
                        <c:v>-28</c:v>
                      </c:pt>
                      <c:pt idx="3">
                        <c:v>11</c:v>
                      </c:pt>
                      <c:pt idx="4">
                        <c:v>-28</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C-AC39-4317-8A3A-817311AE9B64}"/>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Temperature!$B$31</c15:sqref>
                        </c15:formulaRef>
                      </c:ext>
                    </c:extLst>
                    <c:strCache>
                      <c:ptCount val="1"/>
                      <c:pt idx="0">
                        <c:v>No.2 Main LO Pump </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(Temperature!$E$31,Temperature!$H$31,Temperature!$K$31,Temperature!$N$31,Temperature!$Q$31,Temperature!$T$31,Temperature!$W$31,Temperature!$Z$31,Temperature!$AC$31,Temperature!$AF$31,Temperature!$AI$31,Temperature!$AL$31)</c15:sqref>
                        </c15:formulaRef>
                      </c:ext>
                    </c:extLst>
                    <c:numCache>
                      <c:formatCode>0;\-0;;@</c:formatCode>
                      <c:ptCount val="12"/>
                      <c:pt idx="0">
                        <c:v>11</c:v>
                      </c:pt>
                      <c:pt idx="1">
                        <c:v>-38</c:v>
                      </c:pt>
                      <c:pt idx="2">
                        <c:v>9</c:v>
                      </c:pt>
                      <c:pt idx="3">
                        <c:v>-32</c:v>
                      </c:pt>
                      <c:pt idx="4">
                        <c:v>12</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D-AC39-4317-8A3A-817311AE9B64}"/>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Temperature!$B$32</c15:sqref>
                        </c15:formulaRef>
                      </c:ext>
                    </c:extLst>
                    <c:strCache>
                      <c:ptCount val="1"/>
                      <c:pt idx="0">
                        <c:v>No.1 Steering Gear</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(Temperature!$E$32,Temperature!$H$32,Temperature!$K$32,Temperature!$N$32,Temperature!$Q$32,Temperature!$T$32,Temperature!$W$32,Temperature!$Z$32,Temperature!$AC$32,Temperature!$AF$32,Temperature!$AI$32,Temperature!$AL$32)</c15:sqref>
                        </c15:formulaRef>
                      </c:ext>
                    </c:extLst>
                    <c:numCache>
                      <c:formatCode>0;\-0;;@</c:formatCode>
                      <c:ptCount val="12"/>
                      <c:pt idx="0">
                        <c:v>11</c:v>
                      </c:pt>
                      <c:pt idx="1">
                        <c:v>4</c:v>
                      </c:pt>
                      <c:pt idx="2">
                        <c:v>10</c:v>
                      </c:pt>
                      <c:pt idx="3">
                        <c:v>10</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E-AC39-4317-8A3A-817311AE9B64}"/>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Temperature!$B$33</c15:sqref>
                        </c15:formulaRef>
                      </c:ext>
                    </c:extLst>
                    <c:strCache>
                      <c:ptCount val="1"/>
                      <c:pt idx="0">
                        <c:v>No.2 Steering Gear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(Temperature!$E$33,Temperature!$H$33,Temperature!$K$33,Temperature!$N$33,Temperature!$Q$33,Temperature!$T$33,Temperature!$W$33,Temperature!$Z$33,Temperature!$AC$33,Temperature!$AF$33,Temperature!$AI$33,Temperature!$AL$33)</c15:sqref>
                        </c15:formulaRef>
                      </c:ext>
                    </c:extLst>
                    <c:numCache>
                      <c:formatCode>0;\-0;;@</c:formatCode>
                      <c:ptCount val="12"/>
                      <c:pt idx="0">
                        <c:v>12</c:v>
                      </c:pt>
                      <c:pt idx="1">
                        <c:v>4</c:v>
                      </c:pt>
                      <c:pt idx="2">
                        <c:v>10</c:v>
                      </c:pt>
                      <c:pt idx="3">
                        <c:v>11</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F-AC39-4317-8A3A-817311AE9B64}"/>
                  </c:ext>
                </c:extLst>
              </c15:ser>
            </c15:filteredLineSeries>
          </c:ext>
        </c:extLst>
      </c:lineChart>
      <c:catAx>
        <c:axId val="40357248"/>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18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0363136"/>
        <c:crosses val="autoZero"/>
        <c:auto val="1"/>
        <c:lblAlgn val="ctr"/>
        <c:lblOffset val="100"/>
        <c:noMultiLvlLbl val="0"/>
      </c:catAx>
      <c:valAx>
        <c:axId val="403631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0357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SG" sz="2000" b="1" baseline="0"/>
              <a:t>G/E L.O. Priming Pump-Diff from E/R Temp</a:t>
            </a:r>
            <a:endParaRPr lang="en-SG" sz="2000" b="1"/>
          </a:p>
        </c:rich>
      </c:tx>
      <c:overlay val="0"/>
      <c:spPr>
        <a:noFill/>
        <a:ln>
          <a:noFill/>
        </a:ln>
        <a:effectLst/>
      </c:spPr>
    </c:title>
    <c:autoTitleDeleted val="0"/>
    <c:plotArea>
      <c:layout>
        <c:manualLayout>
          <c:layoutTarget val="inner"/>
          <c:xMode val="edge"/>
          <c:yMode val="edge"/>
          <c:x val="2.6217571037680958E-2"/>
          <c:y val="9.1239657494952914E-2"/>
          <c:w val="0.9667262001249286"/>
          <c:h val="0.67534297747665262"/>
        </c:manualLayout>
      </c:layout>
      <c:lineChart>
        <c:grouping val="standard"/>
        <c:varyColors val="0"/>
        <c:ser>
          <c:idx val="18"/>
          <c:order val="18"/>
          <c:tx>
            <c:strRef>
              <c:f>Temperature!$B$20</c:f>
              <c:strCache>
                <c:ptCount val="1"/>
                <c:pt idx="0">
                  <c:v>No.1 G/E L.O. Priming Pump</c:v>
                </c:pt>
              </c:strCache>
              <c:extLst xmlns:c15="http://schemas.microsoft.com/office/drawing/2012/chart"/>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(Temperature!$E$20,Temperature!$H$20,Temperature!$K$20,Temperature!$N$20,Temperature!$Q$20,Temperature!$T$20,Temperature!$W$20,Temperature!$Z$20,Temperature!$AC$20,Temperature!$AF$20,Temperature!$AI$20,Temperature!$AL$20)</c:f>
              <c:numCache>
                <c:formatCode>0;\-0;;@</c:formatCode>
                <c:ptCount val="12"/>
                <c:pt idx="0">
                  <c:v>12</c:v>
                </c:pt>
                <c:pt idx="1">
                  <c:v>0</c:v>
                </c:pt>
                <c:pt idx="2">
                  <c:v>8</c:v>
                </c:pt>
                <c:pt idx="3">
                  <c:v>10</c:v>
                </c:pt>
                <c:pt idx="4">
                  <c:v>10</c:v>
                </c:pt>
                <c:pt idx="5">
                  <c:v>6</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2-E60D-4DAD-B2A6-DC21D689415C}"/>
            </c:ext>
          </c:extLst>
        </c:ser>
        <c:ser>
          <c:idx val="19"/>
          <c:order val="19"/>
          <c:tx>
            <c:strRef>
              <c:f>Temperature!$B$21</c:f>
              <c:strCache>
                <c:ptCount val="1"/>
                <c:pt idx="0">
                  <c:v>No.2 G/E L.O. Priming Pump</c:v>
                </c:pt>
              </c:strCache>
              <c:extLst xmlns:c15="http://schemas.microsoft.com/office/drawing/2012/chart"/>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(Temperature!$E$21,Temperature!$H$21,Temperature!$K$21,Temperature!$N$21,Temperature!$Q$21,Temperature!$T$21,Temperature!$W$21,Temperature!$Z$21,Temperature!$AC$21,Temperature!$AF$21,Temperature!$AI$21,Temperature!$AL$21)</c:f>
              <c:numCache>
                <c:formatCode>0;\-0;;@</c:formatCode>
                <c:ptCount val="12"/>
                <c:pt idx="0">
                  <c:v>11</c:v>
                </c:pt>
                <c:pt idx="1">
                  <c:v>0</c:v>
                </c:pt>
                <c:pt idx="2">
                  <c:v>9</c:v>
                </c:pt>
                <c:pt idx="3">
                  <c:v>9</c:v>
                </c:pt>
                <c:pt idx="4">
                  <c:v>8</c:v>
                </c:pt>
                <c:pt idx="5">
                  <c:v>6</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3-E60D-4DAD-B2A6-DC21D689415C}"/>
            </c:ext>
          </c:extLst>
        </c:ser>
        <c:ser>
          <c:idx val="20"/>
          <c:order val="20"/>
          <c:tx>
            <c:strRef>
              <c:f>Temperature!$B$22</c:f>
              <c:strCache>
                <c:ptCount val="1"/>
                <c:pt idx="0">
                  <c:v>No.3 G/E L.O. Priming Pump</c:v>
                </c:pt>
              </c:strCache>
              <c:extLst xmlns:c15="http://schemas.microsoft.com/office/drawing/2012/chart"/>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(Temperature!$E$22,Temperature!$H$22,Temperature!$K$22,Temperature!$N$22,Temperature!$Q$22,Temperature!$T$22,Temperature!$W$22,Temperature!$Z$22,Temperature!$AC$22,Temperature!$AF$22,Temperature!$AI$22,Temperature!$AL$22)</c:f>
              <c:numCache>
                <c:formatCode>0;\-0;;@</c:formatCode>
                <c:ptCount val="12"/>
                <c:pt idx="0">
                  <c:v>10</c:v>
                </c:pt>
                <c:pt idx="1">
                  <c:v>-2</c:v>
                </c:pt>
                <c:pt idx="2">
                  <c:v>8</c:v>
                </c:pt>
                <c:pt idx="3">
                  <c:v>-32</c:v>
                </c:pt>
                <c:pt idx="4">
                  <c:v>8</c:v>
                </c:pt>
                <c:pt idx="5">
                  <c:v>4</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4-E60D-4DAD-B2A6-DC21D689415C}"/>
            </c:ext>
          </c:extLst>
        </c:ser>
        <c:dLbls>
          <c:showLegendKey val="0"/>
          <c:showVal val="0"/>
          <c:showCatName val="0"/>
          <c:showSerName val="0"/>
          <c:showPercent val="0"/>
          <c:showBubbleSize val="0"/>
        </c:dLbls>
        <c:marker val="1"/>
        <c:smooth val="0"/>
        <c:axId val="40576128"/>
        <c:axId val="40577664"/>
        <c:extLst>
          <c:ext xmlns:c15="http://schemas.microsoft.com/office/drawing/2012/chart" uri="{02D57815-91ED-43cb-92C2-25804820EDAC}">
            <c15:filteredLineSeries>
              <c15:ser>
                <c:idx val="0"/>
                <c:order val="0"/>
                <c:tx>
                  <c:strRef>
                    <c:extLst>
                      <c:ext uri="{02D57815-91ED-43cb-92C2-25804820EDAC}">
                        <c15:formulaRef>
                          <c15:sqref>Temperature!$B$6</c15:sqref>
                        </c15:formulaRef>
                      </c:ext>
                    </c:extLst>
                    <c:strCache>
                      <c:ptCount val="1"/>
                      <c:pt idx="0">
                        <c:v>E/R Temperature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extLst>
                      <c:ex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c:ext uri="{02D57815-91ED-43cb-92C2-25804820EDAC}">
                        <c15:formulaRef>
                          <c15:sqref>(Temperature!$E$6,Temperature!$H$6,Temperature!$K$6,Temperature!$N$6,Temperature!$Q$6,Temperature!$T$6,Temperature!$W$6,Temperature!$Z$6,Temperature!$AC$6,Temperature!$AF$6,Temperature!$AI$6,Temperature!$AL$6)</c15:sqref>
                        </c15:formulaRef>
                      </c:ext>
                    </c:extLst>
                    <c:numCache>
                      <c:formatCode>0;\-0;;@</c:formatCode>
                      <c:ptCount val="12"/>
                    </c:numCache>
                  </c:numRef>
                </c:val>
                <c:smooth val="0"/>
                <c:extLst>
                  <c:ext xmlns:c16="http://schemas.microsoft.com/office/drawing/2014/chart" uri="{C3380CC4-5D6E-409C-BE32-E72D297353CC}">
                    <c16:uniqueId val="{00000004-E60D-4DAD-B2A6-DC21D689415C}"/>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Temperature!$B$7</c15:sqref>
                        </c15:formulaRef>
                      </c:ext>
                    </c:extLst>
                    <c:strCache>
                      <c:ptCount val="1"/>
                      <c:pt idx="0">
                        <c:v>No.1 Main Air Compressor</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(Temperature!$E$7,Temperature!$H$7,Temperature!$K$7,Temperature!$N$7,Temperature!$Q$7,Temperature!$T$7,Temperature!$W$7,Temperature!$Z$7,Temperature!$AC$7,Temperature!$AF$7,Temperature!$AI$7,Temperature!$AL$7)</c15:sqref>
                        </c15:formulaRef>
                      </c:ext>
                    </c:extLst>
                    <c:numCache>
                      <c:formatCode>0;\-0;;@</c:formatCode>
                      <c:ptCount val="12"/>
                      <c:pt idx="0">
                        <c:v>13</c:v>
                      </c:pt>
                      <c:pt idx="1">
                        <c:v>6</c:v>
                      </c:pt>
                      <c:pt idx="2">
                        <c:v>9</c:v>
                      </c:pt>
                      <c:pt idx="3">
                        <c:v>11</c:v>
                      </c:pt>
                      <c:pt idx="4">
                        <c:v>14</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5-E60D-4DAD-B2A6-DC21D689415C}"/>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Temperature!$B$8</c15:sqref>
                        </c15:formulaRef>
                      </c:ext>
                    </c:extLst>
                    <c:strCache>
                      <c:ptCount val="1"/>
                      <c:pt idx="0">
                        <c:v>No.2 Main Air Compressor</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(Temperature!$E$8,Temperature!$H$8,Temperature!$K$8,Temperature!$N$8,Temperature!$Q$8,Temperature!$T$8,Temperature!$W$8,Temperature!$Z$8,Temperature!$AC$8,Temperature!$AF$8,Temperature!$AI$8,Temperature!$AL$8)</c15:sqref>
                        </c15:formulaRef>
                      </c:ext>
                    </c:extLst>
                    <c:numCache>
                      <c:formatCode>0;\-0;;@</c:formatCode>
                      <c:ptCount val="12"/>
                      <c:pt idx="0">
                        <c:v>11</c:v>
                      </c:pt>
                      <c:pt idx="1">
                        <c:v>6</c:v>
                      </c:pt>
                      <c:pt idx="2">
                        <c:v>10</c:v>
                      </c:pt>
                      <c:pt idx="3">
                        <c:v>12</c:v>
                      </c:pt>
                      <c:pt idx="4">
                        <c:v>12</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E60D-4DAD-B2A6-DC21D689415C}"/>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Temperature!$B$9</c15:sqref>
                        </c15:formulaRef>
                      </c:ext>
                    </c:extLst>
                    <c:strCache>
                      <c:ptCount val="1"/>
                      <c:pt idx="0">
                        <c:v>No.1 Main Cooling S.W. Pump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(Temperature!$E$9,Temperature!$H$9,Temperature!$K$9,Temperature!$N$9,Temperature!$Q$9,Temperature!$T$9,Temperature!$W$9,Temperature!$Z$9,Temperature!$AC$9,Temperature!$AF$9,Temperature!$AI$9,Temperature!$AL$9)</c15:sqref>
                        </c15:formulaRef>
                      </c:ext>
                    </c:extLst>
                    <c:numCache>
                      <c:formatCode>0;\-0;;@</c:formatCode>
                      <c:ptCount val="12"/>
                      <c:pt idx="0">
                        <c:v>10</c:v>
                      </c:pt>
                      <c:pt idx="1">
                        <c:v>-38</c:v>
                      </c:pt>
                      <c:pt idx="2">
                        <c:v>11</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7-E60D-4DAD-B2A6-DC21D689415C}"/>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Temperature!$B$10</c15:sqref>
                        </c15:formulaRef>
                      </c:ext>
                    </c:extLst>
                    <c:strCache>
                      <c:ptCount val="1"/>
                      <c:pt idx="0">
                        <c:v>No.2 Main Cooling S.W. Pump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(Temperature!$E$10,Temperature!$H$10,Temperature!$K$10,Temperature!$N$10,Temperature!$Q$10,Temperature!$T$10,Temperature!$W$10,Temperature!$Z$10,Temperature!$AC$10,Temperature!$AF$10,Temperature!$AI$10,Temperature!$AL$10)</c15:sqref>
                        </c15:formulaRef>
                      </c:ext>
                    </c:extLst>
                    <c:numCache>
                      <c:formatCode>0;\-0;;@</c:formatCode>
                      <c:ptCount val="12"/>
                      <c:pt idx="0">
                        <c:v>-25</c:v>
                      </c:pt>
                      <c:pt idx="1">
                        <c:v>4</c:v>
                      </c:pt>
                      <c:pt idx="2">
                        <c:v>-28</c:v>
                      </c:pt>
                      <c:pt idx="3">
                        <c:v>-32</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8-E60D-4DAD-B2A6-DC21D689415C}"/>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Temperature!$B$11</c15:sqref>
                        </c15:formulaRef>
                      </c:ext>
                    </c:extLst>
                    <c:strCache>
                      <c:ptCount val="1"/>
                      <c:pt idx="0">
                        <c:v>No.3 Main Cooling S.W. Pump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(Temperature!$E$11,Temperature!$H$11,Temperature!$K$11,Temperature!$N$11,Temperature!$Q$11,Temperature!$T$11,Temperature!$W$11,Temperature!$Z$11,Temperature!$AC$11,Temperature!$AF$11,Temperature!$AI$11,Temperature!$AL$11)</c15:sqref>
                        </c15:formulaRef>
                      </c:ext>
                    </c:extLst>
                    <c:numCache>
                      <c:formatCode>0;\-0;;@</c:formatCode>
                      <c:ptCount val="12"/>
                      <c:pt idx="0">
                        <c:v>-25</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9-E60D-4DAD-B2A6-DC21D689415C}"/>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Temperature!$B$12</c15:sqref>
                        </c15:formulaRef>
                      </c:ext>
                    </c:extLst>
                    <c:strCache>
                      <c:ptCount val="1"/>
                      <c:pt idx="0">
                        <c:v>FWG Ejector pump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(Temperature!$E$12,Temperature!$H$12,Temperature!$K$12,Temperature!$N$12,Temperature!$Q$12,Temperature!$T$12,Temperature!$W$12,Temperature!$Z$12,Temperature!$AC$12,Temperature!$AF$12,Temperature!$AI$12,Temperature!$AL$12)</c15:sqref>
                        </c15:formulaRef>
                      </c:ext>
                    </c:extLst>
                    <c:numCache>
                      <c:formatCode>0;\-0;;@</c:formatCode>
                      <c:ptCount val="12"/>
                      <c:pt idx="0">
                        <c:v>11</c:v>
                      </c:pt>
                      <c:pt idx="1">
                        <c:v>2</c:v>
                      </c:pt>
                      <c:pt idx="2">
                        <c:v>9</c:v>
                      </c:pt>
                      <c:pt idx="3">
                        <c:v>11</c:v>
                      </c:pt>
                      <c:pt idx="4">
                        <c:v>16</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A-E60D-4DAD-B2A6-DC21D689415C}"/>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Temperature!$B$13</c15:sqref>
                        </c15:formulaRef>
                      </c:ext>
                    </c:extLst>
                    <c:strCache>
                      <c:ptCount val="1"/>
                      <c:pt idx="0">
                        <c:v>No.1 IGG Blower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(Temperature!$E$13,Temperature!$H$13,Temperature!$K$13,Temperature!$N$13,Temperature!$Q$13,Temperature!$T$13,Temperature!$W$13,Temperature!$Z$13,Temperature!$AC$13,Temperature!$AF$13,Temperature!$AI$13,Temperature!$AL$13)</c15:sqref>
                        </c15:formulaRef>
                      </c:ext>
                    </c:extLst>
                    <c:numCache>
                      <c:formatCode>0;\-0;;@</c:formatCode>
                      <c:ptCount val="12"/>
                      <c:pt idx="0">
                        <c:v>-25</c:v>
                      </c:pt>
                      <c:pt idx="1">
                        <c:v>4</c:v>
                      </c:pt>
                      <c:pt idx="2">
                        <c:v>-28</c:v>
                      </c:pt>
                      <c:pt idx="3">
                        <c:v>9</c:v>
                      </c:pt>
                      <c:pt idx="4">
                        <c:v>-28</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B-E60D-4DAD-B2A6-DC21D689415C}"/>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Temperature!$B$14</c15:sqref>
                        </c15:formulaRef>
                      </c:ext>
                    </c:extLst>
                    <c:strCache>
                      <c:ptCount val="1"/>
                      <c:pt idx="0">
                        <c:v>No.2 IGG Blower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(Temperature!$E$14,Temperature!$H$14,Temperature!$K$14,Temperature!$N$14,Temperature!$Q$14,Temperature!$T$14,Temperature!$W$14,Temperature!$Z$14,Temperature!$AC$14,Temperature!$AF$14,Temperature!$AI$14,Temperature!$AL$14)</c15:sqref>
                        </c15:formulaRef>
                      </c:ext>
                    </c:extLst>
                    <c:numCache>
                      <c:formatCode>0;\-0;;@</c:formatCode>
                      <c:ptCount val="12"/>
                      <c:pt idx="0">
                        <c:v>8</c:v>
                      </c:pt>
                      <c:pt idx="1">
                        <c:v>-38</c:v>
                      </c:pt>
                      <c:pt idx="2">
                        <c:v>9</c:v>
                      </c:pt>
                      <c:pt idx="3">
                        <c:v>13</c:v>
                      </c:pt>
                      <c:pt idx="4">
                        <c:v>14</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C-E60D-4DAD-B2A6-DC21D689415C}"/>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0-E60D-4DAD-B2A6-DC21D689415C}"/>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1-E60D-4DAD-B2A6-DC21D689415C}"/>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2-E60D-4DAD-B2A6-DC21D689415C}"/>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3-E60D-4DAD-B2A6-DC21D689415C}"/>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Temperature!$B$15</c15:sqref>
                        </c15:formulaRef>
                      </c:ext>
                    </c:extLst>
                    <c:strCache>
                      <c:ptCount val="1"/>
                      <c:pt idx="0">
                        <c:v>Incinerator Flue Gas Fan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(Temperature!$E$15,Temperature!$H$15,Temperature!$K$15,Temperature!$N$15,Temperature!$Q$15,Temperature!$T$15,Temperature!$W$15,Temperature!$Z$15,Temperature!$AC$15,Temperature!$AF$15,Temperature!$AI$15,Temperature!$AL$15)</c15:sqref>
                        </c15:formulaRef>
                      </c:ext>
                    </c:extLst>
                    <c:numCache>
                      <c:formatCode>0;\-0;;@</c:formatCode>
                      <c:ptCount val="12"/>
                      <c:pt idx="0">
                        <c:v>9</c:v>
                      </c:pt>
                      <c:pt idx="1">
                        <c:v>4</c:v>
                      </c:pt>
                      <c:pt idx="2">
                        <c:v>8</c:v>
                      </c:pt>
                      <c:pt idx="3">
                        <c:v>9</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D-E60D-4DAD-B2A6-DC21D689415C}"/>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Temperature!$B$16</c15:sqref>
                        </c15:formulaRef>
                      </c:ext>
                    </c:extLst>
                    <c:strCache>
                      <c:ptCount val="1"/>
                      <c:pt idx="0">
                        <c:v>Incinerator Blower Motor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(Temperature!$E$16,Temperature!$H$16,Temperature!$K$16,Temperature!$N$16,Temperature!$Q$16,Temperature!$T$16,Temperature!$W$16,Temperature!$Z$16,Temperature!$AC$16,Temperature!$AF$16,Temperature!$AI$16,Temperature!$AL$16)</c15:sqref>
                        </c15:formulaRef>
                      </c:ext>
                    </c:extLst>
                    <c:numCache>
                      <c:formatCode>0;\-0;;@</c:formatCode>
                      <c:ptCount val="12"/>
                      <c:pt idx="0">
                        <c:v>10</c:v>
                      </c:pt>
                      <c:pt idx="1">
                        <c:v>0</c:v>
                      </c:pt>
                      <c:pt idx="2">
                        <c:v>7</c:v>
                      </c:pt>
                      <c:pt idx="3">
                        <c:v>10</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E-E60D-4DAD-B2A6-DC21D689415C}"/>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Temperature!$B$17</c15:sqref>
                        </c15:formulaRef>
                      </c:ext>
                    </c:extLst>
                    <c:strCache>
                      <c:ptCount val="1"/>
                      <c:pt idx="0">
                        <c:v>No.1 Deck Seal Pump</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(Temperature!$E$17,Temperature!$H$17,Temperature!$K$17,Temperature!$N$17,Temperature!$Q$17,Temperature!$T$17,Temperature!$W$17,Temperature!$Z$17,Temperature!$AC$17,Temperature!$AF$17,Temperature!$AI$17,Temperature!$AL$17)</c15:sqref>
                        </c15:formulaRef>
                      </c:ext>
                    </c:extLst>
                    <c:numCache>
                      <c:formatCode>0;\-0;;@</c:formatCode>
                      <c:ptCount val="12"/>
                      <c:pt idx="0">
                        <c:v>7</c:v>
                      </c:pt>
                      <c:pt idx="1">
                        <c:v>-38</c:v>
                      </c:pt>
                      <c:pt idx="2">
                        <c:v>8</c:v>
                      </c:pt>
                      <c:pt idx="3">
                        <c:v>8</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F-E60D-4DAD-B2A6-DC21D689415C}"/>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Temperature!$B$18</c15:sqref>
                        </c15:formulaRef>
                      </c:ext>
                    </c:extLst>
                    <c:strCache>
                      <c:ptCount val="1"/>
                      <c:pt idx="0">
                        <c:v>No.2 Deck Seal Pump</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(Temperature!$E$18,Temperature!$H$18,Temperature!$K$18,Temperature!$N$18,Temperature!$Q$18,Temperature!$T$18,Temperature!$W$18,Temperature!$Z$18,Temperature!$AC$18,Temperature!$AF$18,Temperature!$AI$18,Temperature!$AL$18)</c15:sqref>
                        </c15:formulaRef>
                      </c:ext>
                    </c:extLst>
                    <c:numCache>
                      <c:formatCode>0;\-0;;@</c:formatCode>
                      <c:ptCount val="12"/>
                      <c:pt idx="0">
                        <c:v>-25</c:v>
                      </c:pt>
                      <c:pt idx="1">
                        <c:v>-1</c:v>
                      </c:pt>
                      <c:pt idx="2">
                        <c:v>-28</c:v>
                      </c:pt>
                      <c:pt idx="3">
                        <c:v>-32</c:v>
                      </c:pt>
                      <c:pt idx="4">
                        <c:v>10</c:v>
                      </c:pt>
                      <c:pt idx="5">
                        <c:v>5</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0-E60D-4DAD-B2A6-DC21D689415C}"/>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Temperature!$B$19</c15:sqref>
                        </c15:formulaRef>
                      </c:ext>
                    </c:extLst>
                    <c:strCache>
                      <c:ptCount val="1"/>
                      <c:pt idx="0">
                        <c:v>IGG Scrubber Pump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(Temperature!$E$19,Temperature!$H$19,Temperature!$K$19,Temperature!$N$19,Temperature!$Q$19,Temperature!$T$19,Temperature!$W$19,Temperature!$Z$19,Temperature!$AC$19,Temperature!$AF$19,Temperature!$AI$19,Temperature!$AL$19)</c15:sqref>
                        </c15:formulaRef>
                      </c:ext>
                    </c:extLst>
                    <c:numCache>
                      <c:formatCode>0;\-0;;@</c:formatCode>
                      <c:ptCount val="12"/>
                      <c:pt idx="0">
                        <c:v>13</c:v>
                      </c:pt>
                      <c:pt idx="1">
                        <c:v>2</c:v>
                      </c:pt>
                      <c:pt idx="2">
                        <c:v>10</c:v>
                      </c:pt>
                      <c:pt idx="3">
                        <c:v>12</c:v>
                      </c:pt>
                      <c:pt idx="4">
                        <c:v>12</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1-E60D-4DAD-B2A6-DC21D689415C}"/>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Temperature!$B$23</c15:sqref>
                        </c15:formulaRef>
                      </c:ext>
                    </c:extLst>
                    <c:strCache>
                      <c:ptCount val="1"/>
                      <c:pt idx="0">
                        <c:v>No.1 M/E FO Circulating Pump</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(Temperature!$E$23,Temperature!$H$23,Temperature!$K$23,Temperature!$N$23,Temperature!$Q$23,Temperature!$T$23,Temperature!$W$23,Temperature!$Z$23,Temperature!$AC$23,Temperature!$AF$23,Temperature!$AI$23,Temperature!$AL$23)</c15:sqref>
                        </c15:formulaRef>
                      </c:ext>
                    </c:extLst>
                    <c:numCache>
                      <c:formatCode>0;\-0;;@</c:formatCode>
                      <c:ptCount val="12"/>
                      <c:pt idx="0">
                        <c:v>-25</c:v>
                      </c:pt>
                      <c:pt idx="1">
                        <c:v>6</c:v>
                      </c:pt>
                      <c:pt idx="2">
                        <c:v>11</c:v>
                      </c:pt>
                      <c:pt idx="3">
                        <c:v>16</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5-E60D-4DAD-B2A6-DC21D689415C}"/>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Temperature!$B$24</c15:sqref>
                        </c15:formulaRef>
                      </c:ext>
                    </c:extLst>
                    <c:strCache>
                      <c:ptCount val="1"/>
                      <c:pt idx="0">
                        <c:v>No.2 M/E FO Circulating Pump</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(Temperature!$E$24,Temperature!$H$24,Temperature!$K$24,Temperature!$N$24,Temperature!$Q$24,Temperature!$T$24,Temperature!$W$24,Temperature!$Z$24,Temperature!$AC$24,Temperature!$AF$24,Temperature!$AI$24,Temperature!$AL$24)</c15:sqref>
                        </c15:formulaRef>
                      </c:ext>
                    </c:extLst>
                    <c:numCache>
                      <c:formatCode>0;\-0;;@</c:formatCode>
                      <c:ptCount val="12"/>
                      <c:pt idx="0">
                        <c:v>13</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6-E60D-4DAD-B2A6-DC21D689415C}"/>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Temperature!$B$25</c15:sqref>
                        </c15:formulaRef>
                      </c:ext>
                    </c:extLst>
                    <c:strCache>
                      <c:ptCount val="1"/>
                      <c:pt idx="0">
                        <c:v>Economiser Feed water Pump</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(Temperature!$E$25,Temperature!$H$25,Temperature!$K$25,Temperature!$N$25,Temperature!$Q$25,Temperature!$T$25,Temperature!$W$25,Temperature!$Z$25,Temperature!$AC$25,Temperature!$AF$25,Temperature!$AI$25,Temperature!$AL$25)</c15:sqref>
                        </c15:formulaRef>
                      </c:ext>
                    </c:extLst>
                    <c:numCache>
                      <c:formatCode>0;\-0;;@</c:formatCode>
                      <c:ptCount val="12"/>
                      <c:pt idx="0">
                        <c:v>-25</c:v>
                      </c:pt>
                      <c:pt idx="1">
                        <c:v>-38</c:v>
                      </c:pt>
                      <c:pt idx="2">
                        <c:v>-28</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7-E60D-4DAD-B2A6-DC21D689415C}"/>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Temperature!$B$26</c15:sqref>
                        </c15:formulaRef>
                      </c:ext>
                    </c:extLst>
                    <c:strCache>
                      <c:ptCount val="1"/>
                      <c:pt idx="0">
                        <c:v>STP Blower </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(Temperature!$E$26,Temperature!$H$26,Temperature!$K$26,Temperature!$N$26,Temperature!$Q$26,Temperature!$T$26,Temperature!$W$26,Temperature!$Z$26,Temperature!$AC$26,Temperature!$AF$26,Temperature!$AI$26,Temperature!$AL$26)</c15:sqref>
                        </c15:formulaRef>
                      </c:ext>
                    </c:extLst>
                    <c:numCache>
                      <c:formatCode>0;\-0;;@</c:formatCode>
                      <c:ptCount val="12"/>
                      <c:pt idx="0">
                        <c:v>11</c:v>
                      </c:pt>
                      <c:pt idx="1">
                        <c:v>6</c:v>
                      </c:pt>
                      <c:pt idx="2">
                        <c:v>7</c:v>
                      </c:pt>
                      <c:pt idx="3">
                        <c:v>7</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8-E60D-4DAD-B2A6-DC21D689415C}"/>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Temperature!$B$27</c15:sqref>
                        </c15:formulaRef>
                      </c:ext>
                    </c:extLst>
                    <c:strCache>
                      <c:ptCount val="1"/>
                      <c:pt idx="0">
                        <c:v>STP Discharge Pump</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(Temperature!$E$27,Temperature!$H$27,Temperature!$K$27,Temperature!$N$27,Temperature!$Q$27,Temperature!$T$27,Temperature!$W$27,Temperature!$Z$27,Temperature!$AC$27,Temperature!$AF$27,Temperature!$AI$27,Temperature!$AL$27)</c15:sqref>
                        </c15:formulaRef>
                      </c:ext>
                    </c:extLst>
                    <c:numCache>
                      <c:formatCode>0;\-0;;@</c:formatCode>
                      <c:ptCount val="12"/>
                      <c:pt idx="0">
                        <c:v>9</c:v>
                      </c:pt>
                      <c:pt idx="1">
                        <c:v>1</c:v>
                      </c:pt>
                      <c:pt idx="2">
                        <c:v>6</c:v>
                      </c:pt>
                      <c:pt idx="3">
                        <c:v>10</c:v>
                      </c:pt>
                      <c:pt idx="4">
                        <c:v>8</c:v>
                      </c:pt>
                      <c:pt idx="5">
                        <c:v>7</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9-E60D-4DAD-B2A6-DC21D689415C}"/>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Temperature!$B$28</c15:sqref>
                        </c15:formulaRef>
                      </c:ext>
                    </c:extLst>
                    <c:strCache>
                      <c:ptCount val="1"/>
                      <c:pt idx="0">
                        <c:v>STP Ejector Pump #1</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(Temperature!$E$28,Temperature!$H$28,Temperature!$K$28,Temperature!$N$28,Temperature!$Q$28,Temperature!$T$28,Temperature!$W$28,Temperature!$Z$28,Temperature!$AC$28,Temperature!$AF$28,Temperature!$AI$28,Temperature!$AL$28)</c15:sqref>
                        </c15:formulaRef>
                      </c:ext>
                    </c:extLst>
                    <c:numCache>
                      <c:formatCode>0;\-0;;@</c:formatCode>
                      <c:ptCount val="12"/>
                      <c:pt idx="0">
                        <c:v>11</c:v>
                      </c:pt>
                      <c:pt idx="1">
                        <c:v>-38</c:v>
                      </c:pt>
                      <c:pt idx="2">
                        <c:v>5</c:v>
                      </c:pt>
                      <c:pt idx="3">
                        <c:v>9</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A-E60D-4DAD-B2A6-DC21D689415C}"/>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Temperature!$B$29</c15:sqref>
                        </c15:formulaRef>
                      </c:ext>
                    </c:extLst>
                    <c:strCache>
                      <c:ptCount val="1"/>
                      <c:pt idx="0">
                        <c:v>STP Ejector Pump #2</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(Temperature!$E$29,Temperature!$H$29,Temperature!$K$29,Temperature!$N$29,Temperature!$Q$29,Temperature!$T$29,Temperature!$W$29,Temperature!$Z$29,Temperature!$AC$29,Temperature!$AF$29,Temperature!$AI$29,Temperature!$AL$29)</c15:sqref>
                        </c15:formulaRef>
                      </c:ext>
                    </c:extLst>
                    <c:numCache>
                      <c:formatCode>0;\-0;;@</c:formatCode>
                      <c:ptCount val="12"/>
                      <c:pt idx="0">
                        <c:v>-25</c:v>
                      </c:pt>
                      <c:pt idx="1">
                        <c:v>4</c:v>
                      </c:pt>
                      <c:pt idx="2">
                        <c:v>5</c:v>
                      </c:pt>
                      <c:pt idx="3">
                        <c:v>10</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B-E60D-4DAD-B2A6-DC21D689415C}"/>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Temperature!$B$30</c15:sqref>
                        </c15:formulaRef>
                      </c:ext>
                    </c:extLst>
                    <c:strCache>
                      <c:ptCount val="1"/>
                      <c:pt idx="0">
                        <c:v>No.1 Main LO Pump </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(Temperature!$E$30,Temperature!$H$30,Temperature!$K$30,Temperature!$N$30,Temperature!$Q$30,Temperature!$T$30,Temperature!$W$30,Temperature!$Z$30,Temperature!$AC$30,Temperature!$AF$30,Temperature!$AI$30,Temperature!$AL$30)</c15:sqref>
                        </c15:formulaRef>
                      </c:ext>
                    </c:extLst>
                    <c:numCache>
                      <c:formatCode>0;\-0;;@</c:formatCode>
                      <c:ptCount val="12"/>
                      <c:pt idx="0">
                        <c:v>-25</c:v>
                      </c:pt>
                      <c:pt idx="1">
                        <c:v>6</c:v>
                      </c:pt>
                      <c:pt idx="2">
                        <c:v>-28</c:v>
                      </c:pt>
                      <c:pt idx="3">
                        <c:v>11</c:v>
                      </c:pt>
                      <c:pt idx="4">
                        <c:v>-28</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C-E60D-4DAD-B2A6-DC21D689415C}"/>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Temperature!$B$31</c15:sqref>
                        </c15:formulaRef>
                      </c:ext>
                    </c:extLst>
                    <c:strCache>
                      <c:ptCount val="1"/>
                      <c:pt idx="0">
                        <c:v>No.2 Main LO Pump </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(Temperature!$E$31,Temperature!$H$31,Temperature!$K$31,Temperature!$N$31,Temperature!$Q$31,Temperature!$T$31,Temperature!$W$31,Temperature!$Z$31,Temperature!$AC$31,Temperature!$AF$31,Temperature!$AI$31,Temperature!$AL$31)</c15:sqref>
                        </c15:formulaRef>
                      </c:ext>
                    </c:extLst>
                    <c:numCache>
                      <c:formatCode>0;\-0;;@</c:formatCode>
                      <c:ptCount val="12"/>
                      <c:pt idx="0">
                        <c:v>11</c:v>
                      </c:pt>
                      <c:pt idx="1">
                        <c:v>-38</c:v>
                      </c:pt>
                      <c:pt idx="2">
                        <c:v>9</c:v>
                      </c:pt>
                      <c:pt idx="3">
                        <c:v>-32</c:v>
                      </c:pt>
                      <c:pt idx="4">
                        <c:v>12</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D-E60D-4DAD-B2A6-DC21D689415C}"/>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Temperature!$B$32</c15:sqref>
                        </c15:formulaRef>
                      </c:ext>
                    </c:extLst>
                    <c:strCache>
                      <c:ptCount val="1"/>
                      <c:pt idx="0">
                        <c:v>No.1 Steering Gear</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(Temperature!$E$32,Temperature!$H$32,Temperature!$K$32,Temperature!$N$32,Temperature!$Q$32,Temperature!$T$32,Temperature!$W$32,Temperature!$Z$32,Temperature!$AC$32,Temperature!$AF$32,Temperature!$AI$32,Temperature!$AL$32)</c15:sqref>
                        </c15:formulaRef>
                      </c:ext>
                    </c:extLst>
                    <c:numCache>
                      <c:formatCode>0;\-0;;@</c:formatCode>
                      <c:ptCount val="12"/>
                      <c:pt idx="0">
                        <c:v>11</c:v>
                      </c:pt>
                      <c:pt idx="1">
                        <c:v>4</c:v>
                      </c:pt>
                      <c:pt idx="2">
                        <c:v>10</c:v>
                      </c:pt>
                      <c:pt idx="3">
                        <c:v>10</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E-E60D-4DAD-B2A6-DC21D689415C}"/>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Temperature!$B$33</c15:sqref>
                        </c15:formulaRef>
                      </c:ext>
                    </c:extLst>
                    <c:strCache>
                      <c:ptCount val="1"/>
                      <c:pt idx="0">
                        <c:v>No.2 Steering Gear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(Temperature!$E$33,Temperature!$H$33,Temperature!$K$33,Temperature!$N$33,Temperature!$Q$33,Temperature!$T$33,Temperature!$W$33,Temperature!$Z$33,Temperature!$AC$33,Temperature!$AF$33,Temperature!$AI$33,Temperature!$AL$33)</c15:sqref>
                        </c15:formulaRef>
                      </c:ext>
                    </c:extLst>
                    <c:numCache>
                      <c:formatCode>0;\-0;;@</c:formatCode>
                      <c:ptCount val="12"/>
                      <c:pt idx="0">
                        <c:v>12</c:v>
                      </c:pt>
                      <c:pt idx="1">
                        <c:v>4</c:v>
                      </c:pt>
                      <c:pt idx="2">
                        <c:v>10</c:v>
                      </c:pt>
                      <c:pt idx="3">
                        <c:v>11</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F-E60D-4DAD-B2A6-DC21D689415C}"/>
                  </c:ext>
                </c:extLst>
              </c15:ser>
            </c15:filteredLineSeries>
          </c:ext>
        </c:extLst>
      </c:lineChart>
      <c:catAx>
        <c:axId val="40576128"/>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18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0577664"/>
        <c:crosses val="autoZero"/>
        <c:auto val="1"/>
        <c:lblAlgn val="ctr"/>
        <c:lblOffset val="100"/>
        <c:noMultiLvlLbl val="0"/>
      </c:catAx>
      <c:valAx>
        <c:axId val="405776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057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SG" sz="2000" b="1" baseline="0"/>
              <a:t>M/E FO Circulating Pump-Diff from E/R Temp</a:t>
            </a:r>
            <a:endParaRPr lang="en-SG" sz="2000" b="1"/>
          </a:p>
        </c:rich>
      </c:tx>
      <c:overlay val="0"/>
      <c:spPr>
        <a:noFill/>
        <a:ln>
          <a:noFill/>
        </a:ln>
        <a:effectLst/>
      </c:spPr>
    </c:title>
    <c:autoTitleDeleted val="0"/>
    <c:plotArea>
      <c:layout>
        <c:manualLayout>
          <c:layoutTarget val="inner"/>
          <c:xMode val="edge"/>
          <c:yMode val="edge"/>
          <c:x val="2.6217571037680958E-2"/>
          <c:y val="9.1239657494952914E-2"/>
          <c:w val="0.9667262001249286"/>
          <c:h val="0.67534297747665262"/>
        </c:manualLayout>
      </c:layout>
      <c:lineChart>
        <c:grouping val="standard"/>
        <c:varyColors val="0"/>
        <c:ser>
          <c:idx val="21"/>
          <c:order val="21"/>
          <c:tx>
            <c:strRef>
              <c:f>Temperature!$B$23</c:f>
              <c:strCache>
                <c:ptCount val="1"/>
                <c:pt idx="0">
                  <c:v>No.1 M/E FO Circulating Pump</c:v>
                </c:pt>
              </c:strCache>
              <c:extLst xmlns:c15="http://schemas.microsoft.com/office/drawing/2012/chart"/>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(Temperature!$E$23,Temperature!$H$23,Temperature!$K$23,Temperature!$N$23,Temperature!$Q$23,Temperature!$T$23,Temperature!$W$23,Temperature!$Z$23,Temperature!$AC$23,Temperature!$AF$23,Temperature!$AI$23,Temperature!$AL$23)</c:f>
              <c:numCache>
                <c:formatCode>0;\-0;;@</c:formatCode>
                <c:ptCount val="12"/>
                <c:pt idx="0">
                  <c:v>-25</c:v>
                </c:pt>
                <c:pt idx="1">
                  <c:v>6</c:v>
                </c:pt>
                <c:pt idx="2">
                  <c:v>11</c:v>
                </c:pt>
                <c:pt idx="3">
                  <c:v>16</c:v>
                </c:pt>
                <c:pt idx="4">
                  <c:v>10</c:v>
                </c:pt>
                <c:pt idx="5">
                  <c:v>12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5-4947-43C4-B3E9-8350CEAE6D34}"/>
            </c:ext>
          </c:extLst>
        </c:ser>
        <c:ser>
          <c:idx val="22"/>
          <c:order val="22"/>
          <c:tx>
            <c:strRef>
              <c:f>Temperature!$B$24</c:f>
              <c:strCache>
                <c:ptCount val="1"/>
                <c:pt idx="0">
                  <c:v>No.2 M/E FO Circulating Pump</c:v>
                </c:pt>
              </c:strCache>
              <c:extLst xmlns:c15="http://schemas.microsoft.com/office/drawing/2012/chart"/>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(Temperature!$E$24,Temperature!$H$24,Temperature!$K$24,Temperature!$N$24,Temperature!$Q$24,Temperature!$T$24,Temperature!$W$24,Temperature!$Z$24,Temperature!$AC$24,Temperature!$AF$24,Temperature!$AI$24,Temperature!$AL$24)</c:f>
              <c:numCache>
                <c:formatCode>0;\-0;;@</c:formatCode>
                <c:ptCount val="12"/>
                <c:pt idx="0">
                  <c:v>13</c:v>
                </c:pt>
                <c:pt idx="1">
                  <c:v>-38</c:v>
                </c:pt>
                <c:pt idx="2">
                  <c:v>-28</c:v>
                </c:pt>
                <c:pt idx="3">
                  <c:v>-32</c:v>
                </c:pt>
                <c:pt idx="4">
                  <c:v>-28</c:v>
                </c:pt>
                <c:pt idx="5">
                  <c:v>-32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6-4947-43C4-B3E9-8350CEAE6D34}"/>
            </c:ext>
          </c:extLst>
        </c:ser>
        <c:dLbls>
          <c:showLegendKey val="0"/>
          <c:showVal val="0"/>
          <c:showCatName val="0"/>
          <c:showSerName val="0"/>
          <c:showPercent val="0"/>
          <c:showBubbleSize val="0"/>
        </c:dLbls>
        <c:marker val="1"/>
        <c:smooth val="0"/>
        <c:axId val="40678528"/>
        <c:axId val="40680064"/>
        <c:extLst>
          <c:ext xmlns:c15="http://schemas.microsoft.com/office/drawing/2012/chart" uri="{02D57815-91ED-43cb-92C2-25804820EDAC}">
            <c15:filteredLineSeries>
              <c15:ser>
                <c:idx val="0"/>
                <c:order val="0"/>
                <c:tx>
                  <c:strRef>
                    <c:extLst>
                      <c:ext uri="{02D57815-91ED-43cb-92C2-25804820EDAC}">
                        <c15:formulaRef>
                          <c15:sqref>Temperature!$B$6</c15:sqref>
                        </c15:formulaRef>
                      </c:ext>
                    </c:extLst>
                    <c:strCache>
                      <c:ptCount val="1"/>
                      <c:pt idx="0">
                        <c:v>E/R Temperature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extLst>
                      <c:ex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c:ext uri="{02D57815-91ED-43cb-92C2-25804820EDAC}">
                        <c15:formulaRef>
                          <c15:sqref>(Temperature!$E$6,Temperature!$H$6,Temperature!$K$6,Temperature!$N$6,Temperature!$Q$6,Temperature!$T$6,Temperature!$W$6,Temperature!$Z$6,Temperature!$AC$6,Temperature!$AF$6,Temperature!$AI$6,Temperature!$AL$6)</c15:sqref>
                        </c15:formulaRef>
                      </c:ext>
                    </c:extLst>
                    <c:numCache>
                      <c:formatCode>0;\-0;;@</c:formatCode>
                      <c:ptCount val="12"/>
                    </c:numCache>
                  </c:numRef>
                </c:val>
                <c:smooth val="0"/>
                <c:extLst>
                  <c:ext xmlns:c16="http://schemas.microsoft.com/office/drawing/2014/chart" uri="{C3380CC4-5D6E-409C-BE32-E72D297353CC}">
                    <c16:uniqueId val="{00000002-4947-43C4-B3E9-8350CEAE6D3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Temperature!$B$7</c15:sqref>
                        </c15:formulaRef>
                      </c:ext>
                    </c:extLst>
                    <c:strCache>
                      <c:ptCount val="1"/>
                      <c:pt idx="0">
                        <c:v>No.1 Main Air Compressor</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(Temperature!$E$7,Temperature!$H$7,Temperature!$K$7,Temperature!$N$7,Temperature!$Q$7,Temperature!$T$7,Temperature!$W$7,Temperature!$Z$7,Temperature!$AC$7,Temperature!$AF$7,Temperature!$AI$7,Temperature!$AL$7)</c15:sqref>
                        </c15:formulaRef>
                      </c:ext>
                    </c:extLst>
                    <c:numCache>
                      <c:formatCode>0;\-0;;@</c:formatCode>
                      <c:ptCount val="12"/>
                      <c:pt idx="0">
                        <c:v>13</c:v>
                      </c:pt>
                      <c:pt idx="1">
                        <c:v>6</c:v>
                      </c:pt>
                      <c:pt idx="2">
                        <c:v>9</c:v>
                      </c:pt>
                      <c:pt idx="3">
                        <c:v>11</c:v>
                      </c:pt>
                      <c:pt idx="4">
                        <c:v>14</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3-4947-43C4-B3E9-8350CEAE6D3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Temperature!$B$8</c15:sqref>
                        </c15:formulaRef>
                      </c:ext>
                    </c:extLst>
                    <c:strCache>
                      <c:ptCount val="1"/>
                      <c:pt idx="0">
                        <c:v>No.2 Main Air Compressor</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(Temperature!$E$8,Temperature!$H$8,Temperature!$K$8,Temperature!$N$8,Temperature!$Q$8,Temperature!$T$8,Temperature!$W$8,Temperature!$Z$8,Temperature!$AC$8,Temperature!$AF$8,Temperature!$AI$8,Temperature!$AL$8)</c15:sqref>
                        </c15:formulaRef>
                      </c:ext>
                    </c:extLst>
                    <c:numCache>
                      <c:formatCode>0;\-0;;@</c:formatCode>
                      <c:ptCount val="12"/>
                      <c:pt idx="0">
                        <c:v>11</c:v>
                      </c:pt>
                      <c:pt idx="1">
                        <c:v>6</c:v>
                      </c:pt>
                      <c:pt idx="2">
                        <c:v>10</c:v>
                      </c:pt>
                      <c:pt idx="3">
                        <c:v>12</c:v>
                      </c:pt>
                      <c:pt idx="4">
                        <c:v>12</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4-4947-43C4-B3E9-8350CEAE6D3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Temperature!$B$9</c15:sqref>
                        </c15:formulaRef>
                      </c:ext>
                    </c:extLst>
                    <c:strCache>
                      <c:ptCount val="1"/>
                      <c:pt idx="0">
                        <c:v>No.1 Main Cooling S.W. Pump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(Temperature!$E$9,Temperature!$H$9,Temperature!$K$9,Temperature!$N$9,Temperature!$Q$9,Temperature!$T$9,Temperature!$W$9,Temperature!$Z$9,Temperature!$AC$9,Temperature!$AF$9,Temperature!$AI$9,Temperature!$AL$9)</c15:sqref>
                        </c15:formulaRef>
                      </c:ext>
                    </c:extLst>
                    <c:numCache>
                      <c:formatCode>0;\-0;;@</c:formatCode>
                      <c:ptCount val="12"/>
                      <c:pt idx="0">
                        <c:v>10</c:v>
                      </c:pt>
                      <c:pt idx="1">
                        <c:v>-38</c:v>
                      </c:pt>
                      <c:pt idx="2">
                        <c:v>11</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5-4947-43C4-B3E9-8350CEAE6D34}"/>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Temperature!$B$10</c15:sqref>
                        </c15:formulaRef>
                      </c:ext>
                    </c:extLst>
                    <c:strCache>
                      <c:ptCount val="1"/>
                      <c:pt idx="0">
                        <c:v>No.2 Main Cooling S.W. Pump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(Temperature!$E$10,Temperature!$H$10,Temperature!$K$10,Temperature!$N$10,Temperature!$Q$10,Temperature!$T$10,Temperature!$W$10,Temperature!$Z$10,Temperature!$AC$10,Temperature!$AF$10,Temperature!$AI$10,Temperature!$AL$10)</c15:sqref>
                        </c15:formulaRef>
                      </c:ext>
                    </c:extLst>
                    <c:numCache>
                      <c:formatCode>0;\-0;;@</c:formatCode>
                      <c:ptCount val="12"/>
                      <c:pt idx="0">
                        <c:v>-25</c:v>
                      </c:pt>
                      <c:pt idx="1">
                        <c:v>4</c:v>
                      </c:pt>
                      <c:pt idx="2">
                        <c:v>-28</c:v>
                      </c:pt>
                      <c:pt idx="3">
                        <c:v>-32</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4947-43C4-B3E9-8350CEAE6D3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Temperature!$B$11</c15:sqref>
                        </c15:formulaRef>
                      </c:ext>
                    </c:extLst>
                    <c:strCache>
                      <c:ptCount val="1"/>
                      <c:pt idx="0">
                        <c:v>No.3 Main Cooling S.W. Pump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(Temperature!$E$11,Temperature!$H$11,Temperature!$K$11,Temperature!$N$11,Temperature!$Q$11,Temperature!$T$11,Temperature!$W$11,Temperature!$Z$11,Temperature!$AC$11,Temperature!$AF$11,Temperature!$AI$11,Temperature!$AL$11)</c15:sqref>
                        </c15:formulaRef>
                      </c:ext>
                    </c:extLst>
                    <c:numCache>
                      <c:formatCode>0;\-0;;@</c:formatCode>
                      <c:ptCount val="12"/>
                      <c:pt idx="0">
                        <c:v>-25</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7-4947-43C4-B3E9-8350CEAE6D3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Temperature!$B$12</c15:sqref>
                        </c15:formulaRef>
                      </c:ext>
                    </c:extLst>
                    <c:strCache>
                      <c:ptCount val="1"/>
                      <c:pt idx="0">
                        <c:v>FWG Ejector pump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(Temperature!$E$12,Temperature!$H$12,Temperature!$K$12,Temperature!$N$12,Temperature!$Q$12,Temperature!$T$12,Temperature!$W$12,Temperature!$Z$12,Temperature!$AC$12,Temperature!$AF$12,Temperature!$AI$12,Temperature!$AL$12)</c15:sqref>
                        </c15:formulaRef>
                      </c:ext>
                    </c:extLst>
                    <c:numCache>
                      <c:formatCode>0;\-0;;@</c:formatCode>
                      <c:ptCount val="12"/>
                      <c:pt idx="0">
                        <c:v>11</c:v>
                      </c:pt>
                      <c:pt idx="1">
                        <c:v>2</c:v>
                      </c:pt>
                      <c:pt idx="2">
                        <c:v>9</c:v>
                      </c:pt>
                      <c:pt idx="3">
                        <c:v>11</c:v>
                      </c:pt>
                      <c:pt idx="4">
                        <c:v>16</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8-4947-43C4-B3E9-8350CEAE6D34}"/>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Temperature!$B$13</c15:sqref>
                        </c15:formulaRef>
                      </c:ext>
                    </c:extLst>
                    <c:strCache>
                      <c:ptCount val="1"/>
                      <c:pt idx="0">
                        <c:v>No.1 IGG Blower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(Temperature!$E$13,Temperature!$H$13,Temperature!$K$13,Temperature!$N$13,Temperature!$Q$13,Temperature!$T$13,Temperature!$W$13,Temperature!$Z$13,Temperature!$AC$13,Temperature!$AF$13,Temperature!$AI$13,Temperature!$AL$13)</c15:sqref>
                        </c15:formulaRef>
                      </c:ext>
                    </c:extLst>
                    <c:numCache>
                      <c:formatCode>0;\-0;;@</c:formatCode>
                      <c:ptCount val="12"/>
                      <c:pt idx="0">
                        <c:v>-25</c:v>
                      </c:pt>
                      <c:pt idx="1">
                        <c:v>4</c:v>
                      </c:pt>
                      <c:pt idx="2">
                        <c:v>-28</c:v>
                      </c:pt>
                      <c:pt idx="3">
                        <c:v>9</c:v>
                      </c:pt>
                      <c:pt idx="4">
                        <c:v>-28</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9-4947-43C4-B3E9-8350CEAE6D34}"/>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Temperature!$B$14</c15:sqref>
                        </c15:formulaRef>
                      </c:ext>
                    </c:extLst>
                    <c:strCache>
                      <c:ptCount val="1"/>
                      <c:pt idx="0">
                        <c:v>No.2 IGG Blower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(Temperature!$E$14,Temperature!$H$14,Temperature!$K$14,Temperature!$N$14,Temperature!$Q$14,Temperature!$T$14,Temperature!$W$14,Temperature!$Z$14,Temperature!$AC$14,Temperature!$AF$14,Temperature!$AI$14,Temperature!$AL$14)</c15:sqref>
                        </c15:formulaRef>
                      </c:ext>
                    </c:extLst>
                    <c:numCache>
                      <c:formatCode>0;\-0;;@</c:formatCode>
                      <c:ptCount val="12"/>
                      <c:pt idx="0">
                        <c:v>8</c:v>
                      </c:pt>
                      <c:pt idx="1">
                        <c:v>-38</c:v>
                      </c:pt>
                      <c:pt idx="2">
                        <c:v>9</c:v>
                      </c:pt>
                      <c:pt idx="3">
                        <c:v>13</c:v>
                      </c:pt>
                      <c:pt idx="4">
                        <c:v>14</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A-4947-43C4-B3E9-8350CEAE6D34}"/>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B-4947-43C4-B3E9-8350CEAE6D34}"/>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C-4947-43C4-B3E9-8350CEAE6D34}"/>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D-4947-43C4-B3E9-8350CEAE6D34}"/>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E-4947-43C4-B3E9-8350CEAE6D34}"/>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Temperature!$B$15</c15:sqref>
                        </c15:formulaRef>
                      </c:ext>
                    </c:extLst>
                    <c:strCache>
                      <c:ptCount val="1"/>
                      <c:pt idx="0">
                        <c:v>Incinerator Flue Gas Fan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(Temperature!$E$15,Temperature!$H$15,Temperature!$K$15,Temperature!$N$15,Temperature!$Q$15,Temperature!$T$15,Temperature!$W$15,Temperature!$Z$15,Temperature!$AC$15,Temperature!$AF$15,Temperature!$AI$15,Temperature!$AL$15)</c15:sqref>
                        </c15:formulaRef>
                      </c:ext>
                    </c:extLst>
                    <c:numCache>
                      <c:formatCode>0;\-0;;@</c:formatCode>
                      <c:ptCount val="12"/>
                      <c:pt idx="0">
                        <c:v>9</c:v>
                      </c:pt>
                      <c:pt idx="1">
                        <c:v>4</c:v>
                      </c:pt>
                      <c:pt idx="2">
                        <c:v>8</c:v>
                      </c:pt>
                      <c:pt idx="3">
                        <c:v>9</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0-4947-43C4-B3E9-8350CEAE6D34}"/>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Temperature!$B$16</c15:sqref>
                        </c15:formulaRef>
                      </c:ext>
                    </c:extLst>
                    <c:strCache>
                      <c:ptCount val="1"/>
                      <c:pt idx="0">
                        <c:v>Incinerator Blower Motor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(Temperature!$E$16,Temperature!$H$16,Temperature!$K$16,Temperature!$N$16,Temperature!$Q$16,Temperature!$T$16,Temperature!$W$16,Temperature!$Z$16,Temperature!$AC$16,Temperature!$AF$16,Temperature!$AI$16,Temperature!$AL$16)</c15:sqref>
                        </c15:formulaRef>
                      </c:ext>
                    </c:extLst>
                    <c:numCache>
                      <c:formatCode>0;\-0;;@</c:formatCode>
                      <c:ptCount val="12"/>
                      <c:pt idx="0">
                        <c:v>10</c:v>
                      </c:pt>
                      <c:pt idx="1">
                        <c:v>0</c:v>
                      </c:pt>
                      <c:pt idx="2">
                        <c:v>7</c:v>
                      </c:pt>
                      <c:pt idx="3">
                        <c:v>10</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1-4947-43C4-B3E9-8350CEAE6D34}"/>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Temperature!$B$17</c15:sqref>
                        </c15:formulaRef>
                      </c:ext>
                    </c:extLst>
                    <c:strCache>
                      <c:ptCount val="1"/>
                      <c:pt idx="0">
                        <c:v>No.1 Deck Seal Pump</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(Temperature!$E$17,Temperature!$H$17,Temperature!$K$17,Temperature!$N$17,Temperature!$Q$17,Temperature!$T$17,Temperature!$W$17,Temperature!$Z$17,Temperature!$AC$17,Temperature!$AF$17,Temperature!$AI$17,Temperature!$AL$17)</c15:sqref>
                        </c15:formulaRef>
                      </c:ext>
                    </c:extLst>
                    <c:numCache>
                      <c:formatCode>0;\-0;;@</c:formatCode>
                      <c:ptCount val="12"/>
                      <c:pt idx="0">
                        <c:v>7</c:v>
                      </c:pt>
                      <c:pt idx="1">
                        <c:v>-38</c:v>
                      </c:pt>
                      <c:pt idx="2">
                        <c:v>8</c:v>
                      </c:pt>
                      <c:pt idx="3">
                        <c:v>8</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F-4947-43C4-B3E9-8350CEAE6D34}"/>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Temperature!$B$18</c15:sqref>
                        </c15:formulaRef>
                      </c:ext>
                    </c:extLst>
                    <c:strCache>
                      <c:ptCount val="1"/>
                      <c:pt idx="0">
                        <c:v>No.2 Deck Seal Pump</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(Temperature!$E$18,Temperature!$H$18,Temperature!$K$18,Temperature!$N$18,Temperature!$Q$18,Temperature!$T$18,Temperature!$W$18,Temperature!$Z$18,Temperature!$AC$18,Temperature!$AF$18,Temperature!$AI$18,Temperature!$AL$18)</c15:sqref>
                        </c15:formulaRef>
                      </c:ext>
                    </c:extLst>
                    <c:numCache>
                      <c:formatCode>0;\-0;;@</c:formatCode>
                      <c:ptCount val="12"/>
                      <c:pt idx="0">
                        <c:v>-25</c:v>
                      </c:pt>
                      <c:pt idx="1">
                        <c:v>-1</c:v>
                      </c:pt>
                      <c:pt idx="2">
                        <c:v>-28</c:v>
                      </c:pt>
                      <c:pt idx="3">
                        <c:v>-32</c:v>
                      </c:pt>
                      <c:pt idx="4">
                        <c:v>10</c:v>
                      </c:pt>
                      <c:pt idx="5">
                        <c:v>5</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0-4947-43C4-B3E9-8350CEAE6D34}"/>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Temperature!$B$19</c15:sqref>
                        </c15:formulaRef>
                      </c:ext>
                    </c:extLst>
                    <c:strCache>
                      <c:ptCount val="1"/>
                      <c:pt idx="0">
                        <c:v>IGG Scrubber Pump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(Temperature!$E$19,Temperature!$H$19,Temperature!$K$19,Temperature!$N$19,Temperature!$Q$19,Temperature!$T$19,Temperature!$W$19,Temperature!$Z$19,Temperature!$AC$19,Temperature!$AF$19,Temperature!$AI$19,Temperature!$AL$19)</c15:sqref>
                        </c15:formulaRef>
                      </c:ext>
                    </c:extLst>
                    <c:numCache>
                      <c:formatCode>0;\-0;;@</c:formatCode>
                      <c:ptCount val="12"/>
                      <c:pt idx="0">
                        <c:v>13</c:v>
                      </c:pt>
                      <c:pt idx="1">
                        <c:v>2</c:v>
                      </c:pt>
                      <c:pt idx="2">
                        <c:v>10</c:v>
                      </c:pt>
                      <c:pt idx="3">
                        <c:v>12</c:v>
                      </c:pt>
                      <c:pt idx="4">
                        <c:v>12</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1-4947-43C4-B3E9-8350CEAE6D34}"/>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Temperature!$B$20</c15:sqref>
                        </c15:formulaRef>
                      </c:ext>
                    </c:extLst>
                    <c:strCache>
                      <c:ptCount val="1"/>
                      <c:pt idx="0">
                        <c:v>No.1 G/E L.O. Priming Pump</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(Temperature!$E$20,Temperature!$H$20,Temperature!$K$20,Temperature!$N$20,Temperature!$Q$20,Temperature!$T$20,Temperature!$W$20,Temperature!$Z$20,Temperature!$AC$20,Temperature!$AF$20,Temperature!$AI$20,Temperature!$AL$20)</c15:sqref>
                        </c15:formulaRef>
                      </c:ext>
                    </c:extLst>
                    <c:numCache>
                      <c:formatCode>0;\-0;;@</c:formatCode>
                      <c:ptCount val="12"/>
                      <c:pt idx="0">
                        <c:v>12</c:v>
                      </c:pt>
                      <c:pt idx="1">
                        <c:v>0</c:v>
                      </c:pt>
                      <c:pt idx="2">
                        <c:v>8</c:v>
                      </c:pt>
                      <c:pt idx="3">
                        <c:v>10</c:v>
                      </c:pt>
                      <c:pt idx="4">
                        <c:v>10</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2-4947-43C4-B3E9-8350CEAE6D34}"/>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Temperature!$B$21</c15:sqref>
                        </c15:formulaRef>
                      </c:ext>
                    </c:extLst>
                    <c:strCache>
                      <c:ptCount val="1"/>
                      <c:pt idx="0">
                        <c:v>No.2 G/E L.O. Priming Pump</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(Temperature!$E$21,Temperature!$H$21,Temperature!$K$21,Temperature!$N$21,Temperature!$Q$21,Temperature!$T$21,Temperature!$W$21,Temperature!$Z$21,Temperature!$AC$21,Temperature!$AF$21,Temperature!$AI$21,Temperature!$AL$21)</c15:sqref>
                        </c15:formulaRef>
                      </c:ext>
                    </c:extLst>
                    <c:numCache>
                      <c:formatCode>0;\-0;;@</c:formatCode>
                      <c:ptCount val="12"/>
                      <c:pt idx="0">
                        <c:v>11</c:v>
                      </c:pt>
                      <c:pt idx="1">
                        <c:v>0</c:v>
                      </c:pt>
                      <c:pt idx="2">
                        <c:v>9</c:v>
                      </c:pt>
                      <c:pt idx="3">
                        <c:v>9</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3-4947-43C4-B3E9-8350CEAE6D34}"/>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Temperature!$B$22</c15:sqref>
                        </c15:formulaRef>
                      </c:ext>
                    </c:extLst>
                    <c:strCache>
                      <c:ptCount val="1"/>
                      <c:pt idx="0">
                        <c:v>No.3 G/E L.O. Priming Pump</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(Temperature!$E$22,Temperature!$H$22,Temperature!$K$22,Temperature!$N$22,Temperature!$Q$22,Temperature!$T$22,Temperature!$W$22,Temperature!$Z$22,Temperature!$AC$22,Temperature!$AF$22,Temperature!$AI$22,Temperature!$AL$22)</c15:sqref>
                        </c15:formulaRef>
                      </c:ext>
                    </c:extLst>
                    <c:numCache>
                      <c:formatCode>0;\-0;;@</c:formatCode>
                      <c:ptCount val="12"/>
                      <c:pt idx="0">
                        <c:v>10</c:v>
                      </c:pt>
                      <c:pt idx="1">
                        <c:v>-2</c:v>
                      </c:pt>
                      <c:pt idx="2">
                        <c:v>8</c:v>
                      </c:pt>
                      <c:pt idx="3">
                        <c:v>-32</c:v>
                      </c:pt>
                      <c:pt idx="4">
                        <c:v>8</c:v>
                      </c:pt>
                      <c:pt idx="5">
                        <c:v>4</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4-4947-43C4-B3E9-8350CEAE6D34}"/>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Temperature!$B$25</c15:sqref>
                        </c15:formulaRef>
                      </c:ext>
                    </c:extLst>
                    <c:strCache>
                      <c:ptCount val="1"/>
                      <c:pt idx="0">
                        <c:v>Economiser Feed water Pump</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(Temperature!$E$25,Temperature!$H$25,Temperature!$K$25,Temperature!$N$25,Temperature!$Q$25,Temperature!$T$25,Temperature!$W$25,Temperature!$Z$25,Temperature!$AC$25,Temperature!$AF$25,Temperature!$AI$25,Temperature!$AL$25)</c15:sqref>
                        </c15:formulaRef>
                      </c:ext>
                    </c:extLst>
                    <c:numCache>
                      <c:formatCode>0;\-0;;@</c:formatCode>
                      <c:ptCount val="12"/>
                      <c:pt idx="0">
                        <c:v>-25</c:v>
                      </c:pt>
                      <c:pt idx="1">
                        <c:v>-38</c:v>
                      </c:pt>
                      <c:pt idx="2">
                        <c:v>-28</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7-4947-43C4-B3E9-8350CEAE6D34}"/>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Temperature!$B$26</c15:sqref>
                        </c15:formulaRef>
                      </c:ext>
                    </c:extLst>
                    <c:strCache>
                      <c:ptCount val="1"/>
                      <c:pt idx="0">
                        <c:v>STP Blower </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(Temperature!$E$26,Temperature!$H$26,Temperature!$K$26,Temperature!$N$26,Temperature!$Q$26,Temperature!$T$26,Temperature!$W$26,Temperature!$Z$26,Temperature!$AC$26,Temperature!$AF$26,Temperature!$AI$26,Temperature!$AL$26)</c15:sqref>
                        </c15:formulaRef>
                      </c:ext>
                    </c:extLst>
                    <c:numCache>
                      <c:formatCode>0;\-0;;@</c:formatCode>
                      <c:ptCount val="12"/>
                      <c:pt idx="0">
                        <c:v>11</c:v>
                      </c:pt>
                      <c:pt idx="1">
                        <c:v>6</c:v>
                      </c:pt>
                      <c:pt idx="2">
                        <c:v>7</c:v>
                      </c:pt>
                      <c:pt idx="3">
                        <c:v>7</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8-4947-43C4-B3E9-8350CEAE6D34}"/>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Temperature!$B$27</c15:sqref>
                        </c15:formulaRef>
                      </c:ext>
                    </c:extLst>
                    <c:strCache>
                      <c:ptCount val="1"/>
                      <c:pt idx="0">
                        <c:v>STP Discharge Pump</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(Temperature!$E$27,Temperature!$H$27,Temperature!$K$27,Temperature!$N$27,Temperature!$Q$27,Temperature!$T$27,Temperature!$W$27,Temperature!$Z$27,Temperature!$AC$27,Temperature!$AF$27,Temperature!$AI$27,Temperature!$AL$27)</c15:sqref>
                        </c15:formulaRef>
                      </c:ext>
                    </c:extLst>
                    <c:numCache>
                      <c:formatCode>0;\-0;;@</c:formatCode>
                      <c:ptCount val="12"/>
                      <c:pt idx="0">
                        <c:v>9</c:v>
                      </c:pt>
                      <c:pt idx="1">
                        <c:v>1</c:v>
                      </c:pt>
                      <c:pt idx="2">
                        <c:v>6</c:v>
                      </c:pt>
                      <c:pt idx="3">
                        <c:v>10</c:v>
                      </c:pt>
                      <c:pt idx="4">
                        <c:v>8</c:v>
                      </c:pt>
                      <c:pt idx="5">
                        <c:v>7</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9-4947-43C4-B3E9-8350CEAE6D34}"/>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Temperature!$B$28</c15:sqref>
                        </c15:formulaRef>
                      </c:ext>
                    </c:extLst>
                    <c:strCache>
                      <c:ptCount val="1"/>
                      <c:pt idx="0">
                        <c:v>STP Ejector Pump #1</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(Temperature!$E$28,Temperature!$H$28,Temperature!$K$28,Temperature!$N$28,Temperature!$Q$28,Temperature!$T$28,Temperature!$W$28,Temperature!$Z$28,Temperature!$AC$28,Temperature!$AF$28,Temperature!$AI$28,Temperature!$AL$28)</c15:sqref>
                        </c15:formulaRef>
                      </c:ext>
                    </c:extLst>
                    <c:numCache>
                      <c:formatCode>0;\-0;;@</c:formatCode>
                      <c:ptCount val="12"/>
                      <c:pt idx="0">
                        <c:v>11</c:v>
                      </c:pt>
                      <c:pt idx="1">
                        <c:v>-38</c:v>
                      </c:pt>
                      <c:pt idx="2">
                        <c:v>5</c:v>
                      </c:pt>
                      <c:pt idx="3">
                        <c:v>9</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A-4947-43C4-B3E9-8350CEAE6D34}"/>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Temperature!$B$29</c15:sqref>
                        </c15:formulaRef>
                      </c:ext>
                    </c:extLst>
                    <c:strCache>
                      <c:ptCount val="1"/>
                      <c:pt idx="0">
                        <c:v>STP Ejector Pump #2</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(Temperature!$E$29,Temperature!$H$29,Temperature!$K$29,Temperature!$N$29,Temperature!$Q$29,Temperature!$T$29,Temperature!$W$29,Temperature!$Z$29,Temperature!$AC$29,Temperature!$AF$29,Temperature!$AI$29,Temperature!$AL$29)</c15:sqref>
                        </c15:formulaRef>
                      </c:ext>
                    </c:extLst>
                    <c:numCache>
                      <c:formatCode>0;\-0;;@</c:formatCode>
                      <c:ptCount val="12"/>
                      <c:pt idx="0">
                        <c:v>-25</c:v>
                      </c:pt>
                      <c:pt idx="1">
                        <c:v>4</c:v>
                      </c:pt>
                      <c:pt idx="2">
                        <c:v>5</c:v>
                      </c:pt>
                      <c:pt idx="3">
                        <c:v>10</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B-4947-43C4-B3E9-8350CEAE6D34}"/>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Temperature!$B$30</c15:sqref>
                        </c15:formulaRef>
                      </c:ext>
                    </c:extLst>
                    <c:strCache>
                      <c:ptCount val="1"/>
                      <c:pt idx="0">
                        <c:v>No.1 Main LO Pump </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(Temperature!$E$30,Temperature!$H$30,Temperature!$K$30,Temperature!$N$30,Temperature!$Q$30,Temperature!$T$30,Temperature!$W$30,Temperature!$Z$30,Temperature!$AC$30,Temperature!$AF$30,Temperature!$AI$30,Temperature!$AL$30)</c15:sqref>
                        </c15:formulaRef>
                      </c:ext>
                    </c:extLst>
                    <c:numCache>
                      <c:formatCode>0;\-0;;@</c:formatCode>
                      <c:ptCount val="12"/>
                      <c:pt idx="0">
                        <c:v>-25</c:v>
                      </c:pt>
                      <c:pt idx="1">
                        <c:v>6</c:v>
                      </c:pt>
                      <c:pt idx="2">
                        <c:v>-28</c:v>
                      </c:pt>
                      <c:pt idx="3">
                        <c:v>11</c:v>
                      </c:pt>
                      <c:pt idx="4">
                        <c:v>-28</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C-4947-43C4-B3E9-8350CEAE6D34}"/>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Temperature!$B$31</c15:sqref>
                        </c15:formulaRef>
                      </c:ext>
                    </c:extLst>
                    <c:strCache>
                      <c:ptCount val="1"/>
                      <c:pt idx="0">
                        <c:v>No.2 Main LO Pump </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(Temperature!$E$31,Temperature!$H$31,Temperature!$K$31,Temperature!$N$31,Temperature!$Q$31,Temperature!$T$31,Temperature!$W$31,Temperature!$Z$31,Temperature!$AC$31,Temperature!$AF$31,Temperature!$AI$31,Temperature!$AL$31)</c15:sqref>
                        </c15:formulaRef>
                      </c:ext>
                    </c:extLst>
                    <c:numCache>
                      <c:formatCode>0;\-0;;@</c:formatCode>
                      <c:ptCount val="12"/>
                      <c:pt idx="0">
                        <c:v>11</c:v>
                      </c:pt>
                      <c:pt idx="1">
                        <c:v>-38</c:v>
                      </c:pt>
                      <c:pt idx="2">
                        <c:v>9</c:v>
                      </c:pt>
                      <c:pt idx="3">
                        <c:v>-32</c:v>
                      </c:pt>
                      <c:pt idx="4">
                        <c:v>12</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D-4947-43C4-B3E9-8350CEAE6D34}"/>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Temperature!$B$32</c15:sqref>
                        </c15:formulaRef>
                      </c:ext>
                    </c:extLst>
                    <c:strCache>
                      <c:ptCount val="1"/>
                      <c:pt idx="0">
                        <c:v>No.1 Steering Gear</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(Temperature!$E$32,Temperature!$H$32,Temperature!$K$32,Temperature!$N$32,Temperature!$Q$32,Temperature!$T$32,Temperature!$W$32,Temperature!$Z$32,Temperature!$AC$32,Temperature!$AF$32,Temperature!$AI$32,Temperature!$AL$32)</c15:sqref>
                        </c15:formulaRef>
                      </c:ext>
                    </c:extLst>
                    <c:numCache>
                      <c:formatCode>0;\-0;;@</c:formatCode>
                      <c:ptCount val="12"/>
                      <c:pt idx="0">
                        <c:v>11</c:v>
                      </c:pt>
                      <c:pt idx="1">
                        <c:v>4</c:v>
                      </c:pt>
                      <c:pt idx="2">
                        <c:v>10</c:v>
                      </c:pt>
                      <c:pt idx="3">
                        <c:v>10</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E-4947-43C4-B3E9-8350CEAE6D34}"/>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Temperature!$B$33</c15:sqref>
                        </c15:formulaRef>
                      </c:ext>
                    </c:extLst>
                    <c:strCache>
                      <c:ptCount val="1"/>
                      <c:pt idx="0">
                        <c:v>No.2 Steering Gear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(Temperature!$E$33,Temperature!$H$33,Temperature!$K$33,Temperature!$N$33,Temperature!$Q$33,Temperature!$T$33,Temperature!$W$33,Temperature!$Z$33,Temperature!$AC$33,Temperature!$AF$33,Temperature!$AI$33,Temperature!$AL$33)</c15:sqref>
                        </c15:formulaRef>
                      </c:ext>
                    </c:extLst>
                    <c:numCache>
                      <c:formatCode>0;\-0;;@</c:formatCode>
                      <c:ptCount val="12"/>
                      <c:pt idx="0">
                        <c:v>12</c:v>
                      </c:pt>
                      <c:pt idx="1">
                        <c:v>4</c:v>
                      </c:pt>
                      <c:pt idx="2">
                        <c:v>10</c:v>
                      </c:pt>
                      <c:pt idx="3">
                        <c:v>11</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F-4947-43C4-B3E9-8350CEAE6D34}"/>
                  </c:ext>
                </c:extLst>
              </c15:ser>
            </c15:filteredLineSeries>
          </c:ext>
        </c:extLst>
      </c:lineChart>
      <c:catAx>
        <c:axId val="40678528"/>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18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0680064"/>
        <c:crosses val="autoZero"/>
        <c:auto val="1"/>
        <c:lblAlgn val="ctr"/>
        <c:lblOffset val="100"/>
        <c:noMultiLvlLbl val="0"/>
      </c:catAx>
      <c:valAx>
        <c:axId val="40680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067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SG" sz="2000" b="1" baseline="0"/>
              <a:t>STP-Diff from E/R Temp</a:t>
            </a:r>
            <a:endParaRPr lang="en-SG" sz="2000" b="1"/>
          </a:p>
        </c:rich>
      </c:tx>
      <c:layout>
        <c:manualLayout>
          <c:xMode val="edge"/>
          <c:yMode val="edge"/>
          <c:x val="0.32106479581047837"/>
          <c:y val="1.24031007751938E-2"/>
        </c:manualLayout>
      </c:layout>
      <c:overlay val="0"/>
      <c:spPr>
        <a:noFill/>
        <a:ln>
          <a:noFill/>
        </a:ln>
        <a:effectLst/>
      </c:spPr>
    </c:title>
    <c:autoTitleDeleted val="0"/>
    <c:plotArea>
      <c:layout>
        <c:manualLayout>
          <c:layoutTarget val="inner"/>
          <c:xMode val="edge"/>
          <c:yMode val="edge"/>
          <c:x val="2.6217571037680958E-2"/>
          <c:y val="9.1239657494952914E-2"/>
          <c:w val="0.9667262001249286"/>
          <c:h val="0.67534297747665262"/>
        </c:manualLayout>
      </c:layout>
      <c:lineChart>
        <c:grouping val="standard"/>
        <c:varyColors val="0"/>
        <c:ser>
          <c:idx val="24"/>
          <c:order val="24"/>
          <c:tx>
            <c:strRef>
              <c:f>Temperature!$B$26</c:f>
              <c:strCache>
                <c:ptCount val="1"/>
                <c:pt idx="0">
                  <c:v>STP Blower </c:v>
                </c:pt>
              </c:strCache>
              <c:extLst xmlns:c15="http://schemas.microsoft.com/office/drawing/2012/chart"/>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(Temperature!$E$26,Temperature!$H$26,Temperature!$K$26,Temperature!$N$26,Temperature!$Q$26,Temperature!$T$26,Temperature!$W$26,Temperature!$Z$26,Temperature!$AC$26,Temperature!$AF$26,Temperature!$AI$26,Temperature!$AL$26)</c:f>
              <c:numCache>
                <c:formatCode>0;\-0;;@</c:formatCode>
                <c:ptCount val="12"/>
                <c:pt idx="0">
                  <c:v>11</c:v>
                </c:pt>
                <c:pt idx="1">
                  <c:v>6</c:v>
                </c:pt>
                <c:pt idx="2">
                  <c:v>7</c:v>
                </c:pt>
                <c:pt idx="3">
                  <c:v>7</c:v>
                </c:pt>
                <c:pt idx="4">
                  <c:v>10</c:v>
                </c:pt>
                <c:pt idx="5">
                  <c:v>12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8-9136-48DC-9AB6-8BAC7D2C97E8}"/>
            </c:ext>
          </c:extLst>
        </c:ser>
        <c:ser>
          <c:idx val="25"/>
          <c:order val="25"/>
          <c:tx>
            <c:strRef>
              <c:f>Temperature!$B$27</c:f>
              <c:strCache>
                <c:ptCount val="1"/>
                <c:pt idx="0">
                  <c:v>STP Discharge Pump</c:v>
                </c:pt>
              </c:strCache>
              <c:extLst xmlns:c15="http://schemas.microsoft.com/office/drawing/2012/chart"/>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(Temperature!$E$27,Temperature!$H$27,Temperature!$K$27,Temperature!$N$27,Temperature!$Q$27,Temperature!$T$27,Temperature!$W$27,Temperature!$Z$27,Temperature!$AC$27,Temperature!$AF$27,Temperature!$AI$27,Temperature!$AL$27)</c:f>
              <c:numCache>
                <c:formatCode>0;\-0;;@</c:formatCode>
                <c:ptCount val="12"/>
                <c:pt idx="0">
                  <c:v>9</c:v>
                </c:pt>
                <c:pt idx="1">
                  <c:v>1</c:v>
                </c:pt>
                <c:pt idx="2">
                  <c:v>6</c:v>
                </c:pt>
                <c:pt idx="3">
                  <c:v>10</c:v>
                </c:pt>
                <c:pt idx="4">
                  <c:v>8</c:v>
                </c:pt>
                <c:pt idx="5">
                  <c:v>7</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9-9136-48DC-9AB6-8BAC7D2C97E8}"/>
            </c:ext>
          </c:extLst>
        </c:ser>
        <c:ser>
          <c:idx val="26"/>
          <c:order val="26"/>
          <c:tx>
            <c:strRef>
              <c:f>Temperature!$B$28</c:f>
              <c:strCache>
                <c:ptCount val="1"/>
                <c:pt idx="0">
                  <c:v>STP Ejector Pump #1</c:v>
                </c:pt>
              </c:strCache>
              <c:extLst xmlns:c15="http://schemas.microsoft.com/office/drawing/2012/chart"/>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(Temperature!$E$28,Temperature!$H$28,Temperature!$K$28,Temperature!$N$28,Temperature!$Q$28,Temperature!$T$28,Temperature!$W$28,Temperature!$Z$28,Temperature!$AC$28,Temperature!$AF$28,Temperature!$AI$28,Temperature!$AL$28)</c:f>
              <c:numCache>
                <c:formatCode>0;\-0;;@</c:formatCode>
                <c:ptCount val="12"/>
                <c:pt idx="0">
                  <c:v>11</c:v>
                </c:pt>
                <c:pt idx="1">
                  <c:v>-38</c:v>
                </c:pt>
                <c:pt idx="2">
                  <c:v>5</c:v>
                </c:pt>
                <c:pt idx="3">
                  <c:v>9</c:v>
                </c:pt>
                <c:pt idx="4">
                  <c:v>-28</c:v>
                </c:pt>
                <c:pt idx="5">
                  <c:v>-32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A-9136-48DC-9AB6-8BAC7D2C97E8}"/>
            </c:ext>
          </c:extLst>
        </c:ser>
        <c:ser>
          <c:idx val="27"/>
          <c:order val="27"/>
          <c:tx>
            <c:strRef>
              <c:f>Temperature!$B$29</c:f>
              <c:strCache>
                <c:ptCount val="1"/>
                <c:pt idx="0">
                  <c:v>STP Ejector Pump #2</c:v>
                </c:pt>
              </c:strCache>
              <c:extLst xmlns:c15="http://schemas.microsoft.com/office/drawing/2012/chart"/>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(Temperature!$E$29,Temperature!$H$29,Temperature!$K$29,Temperature!$N$29,Temperature!$Q$29,Temperature!$T$29,Temperature!$W$29,Temperature!$Z$29,Temperature!$AC$29,Temperature!$AF$29,Temperature!$AI$29,Temperature!$AL$29)</c:f>
              <c:numCache>
                <c:formatCode>0;\-0;;@</c:formatCode>
                <c:ptCount val="12"/>
                <c:pt idx="0">
                  <c:v>-25</c:v>
                </c:pt>
                <c:pt idx="1">
                  <c:v>4</c:v>
                </c:pt>
                <c:pt idx="2">
                  <c:v>5</c:v>
                </c:pt>
                <c:pt idx="3">
                  <c:v>10</c:v>
                </c:pt>
                <c:pt idx="4">
                  <c:v>10</c:v>
                </c:pt>
                <c:pt idx="5">
                  <c:v>10</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B-9136-48DC-9AB6-8BAC7D2C97E8}"/>
            </c:ext>
          </c:extLst>
        </c:ser>
        <c:dLbls>
          <c:showLegendKey val="0"/>
          <c:showVal val="0"/>
          <c:showCatName val="0"/>
          <c:showSerName val="0"/>
          <c:showPercent val="0"/>
          <c:showBubbleSize val="0"/>
        </c:dLbls>
        <c:marker val="1"/>
        <c:smooth val="0"/>
        <c:axId val="41042688"/>
        <c:axId val="41043840"/>
        <c:extLst>
          <c:ext xmlns:c15="http://schemas.microsoft.com/office/drawing/2012/chart" uri="{02D57815-91ED-43cb-92C2-25804820EDAC}">
            <c15:filteredLineSeries>
              <c15:ser>
                <c:idx val="0"/>
                <c:order val="0"/>
                <c:tx>
                  <c:strRef>
                    <c:extLst>
                      <c:ext uri="{02D57815-91ED-43cb-92C2-25804820EDAC}">
                        <c15:formulaRef>
                          <c15:sqref>Temperature!$B$6</c15:sqref>
                        </c15:formulaRef>
                      </c:ext>
                    </c:extLst>
                    <c:strCache>
                      <c:ptCount val="1"/>
                      <c:pt idx="0">
                        <c:v>E/R Temperature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extLst>
                      <c:ex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c:ext uri="{02D57815-91ED-43cb-92C2-25804820EDAC}">
                        <c15:formulaRef>
                          <c15:sqref>(Temperature!$E$6,Temperature!$H$6,Temperature!$K$6,Temperature!$N$6,Temperature!$Q$6,Temperature!$T$6,Temperature!$W$6,Temperature!$Z$6,Temperature!$AC$6,Temperature!$AF$6,Temperature!$AI$6,Temperature!$AL$6)</c15:sqref>
                        </c15:formulaRef>
                      </c:ext>
                    </c:extLst>
                    <c:numCache>
                      <c:formatCode>0;\-0;;@</c:formatCode>
                      <c:ptCount val="12"/>
                    </c:numCache>
                  </c:numRef>
                </c:val>
                <c:smooth val="0"/>
                <c:extLst>
                  <c:ext xmlns:c16="http://schemas.microsoft.com/office/drawing/2014/chart" uri="{C3380CC4-5D6E-409C-BE32-E72D297353CC}">
                    <c16:uniqueId val="{00000002-9136-48DC-9AB6-8BAC7D2C97E8}"/>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Temperature!$B$7</c15:sqref>
                        </c15:formulaRef>
                      </c:ext>
                    </c:extLst>
                    <c:strCache>
                      <c:ptCount val="1"/>
                      <c:pt idx="0">
                        <c:v>No.1 Main Air Compressor</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(Temperature!$E$7,Temperature!$H$7,Temperature!$K$7,Temperature!$N$7,Temperature!$Q$7,Temperature!$T$7,Temperature!$W$7,Temperature!$Z$7,Temperature!$AC$7,Temperature!$AF$7,Temperature!$AI$7,Temperature!$AL$7)</c15:sqref>
                        </c15:formulaRef>
                      </c:ext>
                    </c:extLst>
                    <c:numCache>
                      <c:formatCode>0;\-0;;@</c:formatCode>
                      <c:ptCount val="12"/>
                      <c:pt idx="0">
                        <c:v>13</c:v>
                      </c:pt>
                      <c:pt idx="1">
                        <c:v>6</c:v>
                      </c:pt>
                      <c:pt idx="2">
                        <c:v>9</c:v>
                      </c:pt>
                      <c:pt idx="3">
                        <c:v>11</c:v>
                      </c:pt>
                      <c:pt idx="4">
                        <c:v>14</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3-9136-48DC-9AB6-8BAC7D2C97E8}"/>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Temperature!$B$8</c15:sqref>
                        </c15:formulaRef>
                      </c:ext>
                    </c:extLst>
                    <c:strCache>
                      <c:ptCount val="1"/>
                      <c:pt idx="0">
                        <c:v>No.2 Main Air Compressor</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(Temperature!$E$8,Temperature!$H$8,Temperature!$K$8,Temperature!$N$8,Temperature!$Q$8,Temperature!$T$8,Temperature!$W$8,Temperature!$Z$8,Temperature!$AC$8,Temperature!$AF$8,Temperature!$AI$8,Temperature!$AL$8)</c15:sqref>
                        </c15:formulaRef>
                      </c:ext>
                    </c:extLst>
                    <c:numCache>
                      <c:formatCode>0;\-0;;@</c:formatCode>
                      <c:ptCount val="12"/>
                      <c:pt idx="0">
                        <c:v>11</c:v>
                      </c:pt>
                      <c:pt idx="1">
                        <c:v>6</c:v>
                      </c:pt>
                      <c:pt idx="2">
                        <c:v>10</c:v>
                      </c:pt>
                      <c:pt idx="3">
                        <c:v>12</c:v>
                      </c:pt>
                      <c:pt idx="4">
                        <c:v>12</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4-9136-48DC-9AB6-8BAC7D2C97E8}"/>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Temperature!$B$9</c15:sqref>
                        </c15:formulaRef>
                      </c:ext>
                    </c:extLst>
                    <c:strCache>
                      <c:ptCount val="1"/>
                      <c:pt idx="0">
                        <c:v>No.1 Main Cooling S.W. Pump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(Temperature!$E$9,Temperature!$H$9,Temperature!$K$9,Temperature!$N$9,Temperature!$Q$9,Temperature!$T$9,Temperature!$W$9,Temperature!$Z$9,Temperature!$AC$9,Temperature!$AF$9,Temperature!$AI$9,Temperature!$AL$9)</c15:sqref>
                        </c15:formulaRef>
                      </c:ext>
                    </c:extLst>
                    <c:numCache>
                      <c:formatCode>0;\-0;;@</c:formatCode>
                      <c:ptCount val="12"/>
                      <c:pt idx="0">
                        <c:v>10</c:v>
                      </c:pt>
                      <c:pt idx="1">
                        <c:v>-38</c:v>
                      </c:pt>
                      <c:pt idx="2">
                        <c:v>11</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5-9136-48DC-9AB6-8BAC7D2C97E8}"/>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Temperature!$B$10</c15:sqref>
                        </c15:formulaRef>
                      </c:ext>
                    </c:extLst>
                    <c:strCache>
                      <c:ptCount val="1"/>
                      <c:pt idx="0">
                        <c:v>No.2 Main Cooling S.W. Pump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(Temperature!$E$10,Temperature!$H$10,Temperature!$K$10,Temperature!$N$10,Temperature!$Q$10,Temperature!$T$10,Temperature!$W$10,Temperature!$Z$10,Temperature!$AC$10,Temperature!$AF$10,Temperature!$AI$10,Temperature!$AL$10)</c15:sqref>
                        </c15:formulaRef>
                      </c:ext>
                    </c:extLst>
                    <c:numCache>
                      <c:formatCode>0;\-0;;@</c:formatCode>
                      <c:ptCount val="12"/>
                      <c:pt idx="0">
                        <c:v>-25</c:v>
                      </c:pt>
                      <c:pt idx="1">
                        <c:v>4</c:v>
                      </c:pt>
                      <c:pt idx="2">
                        <c:v>-28</c:v>
                      </c:pt>
                      <c:pt idx="3">
                        <c:v>-32</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9136-48DC-9AB6-8BAC7D2C97E8}"/>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Temperature!$B$11</c15:sqref>
                        </c15:formulaRef>
                      </c:ext>
                    </c:extLst>
                    <c:strCache>
                      <c:ptCount val="1"/>
                      <c:pt idx="0">
                        <c:v>No.3 Main Cooling S.W. Pump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(Temperature!$E$11,Temperature!$H$11,Temperature!$K$11,Temperature!$N$11,Temperature!$Q$11,Temperature!$T$11,Temperature!$W$11,Temperature!$Z$11,Temperature!$AC$11,Temperature!$AF$11,Temperature!$AI$11,Temperature!$AL$11)</c15:sqref>
                        </c15:formulaRef>
                      </c:ext>
                    </c:extLst>
                    <c:numCache>
                      <c:formatCode>0;\-0;;@</c:formatCode>
                      <c:ptCount val="12"/>
                      <c:pt idx="0">
                        <c:v>-25</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7-9136-48DC-9AB6-8BAC7D2C97E8}"/>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Temperature!$B$12</c15:sqref>
                        </c15:formulaRef>
                      </c:ext>
                    </c:extLst>
                    <c:strCache>
                      <c:ptCount val="1"/>
                      <c:pt idx="0">
                        <c:v>FWG Ejector pump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(Temperature!$E$12,Temperature!$H$12,Temperature!$K$12,Temperature!$N$12,Temperature!$Q$12,Temperature!$T$12,Temperature!$W$12,Temperature!$Z$12,Temperature!$AC$12,Temperature!$AF$12,Temperature!$AI$12,Temperature!$AL$12)</c15:sqref>
                        </c15:formulaRef>
                      </c:ext>
                    </c:extLst>
                    <c:numCache>
                      <c:formatCode>0;\-0;;@</c:formatCode>
                      <c:ptCount val="12"/>
                      <c:pt idx="0">
                        <c:v>11</c:v>
                      </c:pt>
                      <c:pt idx="1">
                        <c:v>2</c:v>
                      </c:pt>
                      <c:pt idx="2">
                        <c:v>9</c:v>
                      </c:pt>
                      <c:pt idx="3">
                        <c:v>11</c:v>
                      </c:pt>
                      <c:pt idx="4">
                        <c:v>16</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8-9136-48DC-9AB6-8BAC7D2C97E8}"/>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Temperature!$B$13</c15:sqref>
                        </c15:formulaRef>
                      </c:ext>
                    </c:extLst>
                    <c:strCache>
                      <c:ptCount val="1"/>
                      <c:pt idx="0">
                        <c:v>No.1 IGG Blower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(Temperature!$E$13,Temperature!$H$13,Temperature!$K$13,Temperature!$N$13,Temperature!$Q$13,Temperature!$T$13,Temperature!$W$13,Temperature!$Z$13,Temperature!$AC$13,Temperature!$AF$13,Temperature!$AI$13,Temperature!$AL$13)</c15:sqref>
                        </c15:formulaRef>
                      </c:ext>
                    </c:extLst>
                    <c:numCache>
                      <c:formatCode>0;\-0;;@</c:formatCode>
                      <c:ptCount val="12"/>
                      <c:pt idx="0">
                        <c:v>-25</c:v>
                      </c:pt>
                      <c:pt idx="1">
                        <c:v>4</c:v>
                      </c:pt>
                      <c:pt idx="2">
                        <c:v>-28</c:v>
                      </c:pt>
                      <c:pt idx="3">
                        <c:v>9</c:v>
                      </c:pt>
                      <c:pt idx="4">
                        <c:v>-28</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9-9136-48DC-9AB6-8BAC7D2C97E8}"/>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Temperature!$B$14</c15:sqref>
                        </c15:formulaRef>
                      </c:ext>
                    </c:extLst>
                    <c:strCache>
                      <c:ptCount val="1"/>
                      <c:pt idx="0">
                        <c:v>No.2 IGG Blower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(Temperature!$E$14,Temperature!$H$14,Temperature!$K$14,Temperature!$N$14,Temperature!$Q$14,Temperature!$T$14,Temperature!$W$14,Temperature!$Z$14,Temperature!$AC$14,Temperature!$AF$14,Temperature!$AI$14,Temperature!$AL$14)</c15:sqref>
                        </c15:formulaRef>
                      </c:ext>
                    </c:extLst>
                    <c:numCache>
                      <c:formatCode>0;\-0;;@</c:formatCode>
                      <c:ptCount val="12"/>
                      <c:pt idx="0">
                        <c:v>8</c:v>
                      </c:pt>
                      <c:pt idx="1">
                        <c:v>-38</c:v>
                      </c:pt>
                      <c:pt idx="2">
                        <c:v>9</c:v>
                      </c:pt>
                      <c:pt idx="3">
                        <c:v>13</c:v>
                      </c:pt>
                      <c:pt idx="4">
                        <c:v>14</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A-9136-48DC-9AB6-8BAC7D2C97E8}"/>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B-9136-48DC-9AB6-8BAC7D2C97E8}"/>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C-9136-48DC-9AB6-8BAC7D2C97E8}"/>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D-9136-48DC-9AB6-8BAC7D2C97E8}"/>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E-9136-48DC-9AB6-8BAC7D2C97E8}"/>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Temperature!$B$15</c15:sqref>
                        </c15:formulaRef>
                      </c:ext>
                    </c:extLst>
                    <c:strCache>
                      <c:ptCount val="1"/>
                      <c:pt idx="0">
                        <c:v>Incinerator Flue Gas Fan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(Temperature!$E$15,Temperature!$H$15,Temperature!$K$15,Temperature!$N$15,Temperature!$Q$15,Temperature!$T$15,Temperature!$W$15,Temperature!$Z$15,Temperature!$AC$15,Temperature!$AF$15,Temperature!$AI$15,Temperature!$AL$15)</c15:sqref>
                        </c15:formulaRef>
                      </c:ext>
                    </c:extLst>
                    <c:numCache>
                      <c:formatCode>0;\-0;;@</c:formatCode>
                      <c:ptCount val="12"/>
                      <c:pt idx="0">
                        <c:v>9</c:v>
                      </c:pt>
                      <c:pt idx="1">
                        <c:v>4</c:v>
                      </c:pt>
                      <c:pt idx="2">
                        <c:v>8</c:v>
                      </c:pt>
                      <c:pt idx="3">
                        <c:v>9</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F-9136-48DC-9AB6-8BAC7D2C97E8}"/>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Temperature!$B$16</c15:sqref>
                        </c15:formulaRef>
                      </c:ext>
                    </c:extLst>
                    <c:strCache>
                      <c:ptCount val="1"/>
                      <c:pt idx="0">
                        <c:v>Incinerator Blower Motor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(Temperature!$E$16,Temperature!$H$16,Temperature!$K$16,Temperature!$N$16,Temperature!$Q$16,Temperature!$T$16,Temperature!$W$16,Temperature!$Z$16,Temperature!$AC$16,Temperature!$AF$16,Temperature!$AI$16,Temperature!$AL$16)</c15:sqref>
                        </c15:formulaRef>
                      </c:ext>
                    </c:extLst>
                    <c:numCache>
                      <c:formatCode>0;\-0;;@</c:formatCode>
                      <c:ptCount val="12"/>
                      <c:pt idx="0">
                        <c:v>10</c:v>
                      </c:pt>
                      <c:pt idx="1">
                        <c:v>0</c:v>
                      </c:pt>
                      <c:pt idx="2">
                        <c:v>7</c:v>
                      </c:pt>
                      <c:pt idx="3">
                        <c:v>10</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0-9136-48DC-9AB6-8BAC7D2C97E8}"/>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Temperature!$B$17</c15:sqref>
                        </c15:formulaRef>
                      </c:ext>
                    </c:extLst>
                    <c:strCache>
                      <c:ptCount val="1"/>
                      <c:pt idx="0">
                        <c:v>No.1 Deck Seal Pump</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(Temperature!$E$17,Temperature!$H$17,Temperature!$K$17,Temperature!$N$17,Temperature!$Q$17,Temperature!$T$17,Temperature!$W$17,Temperature!$Z$17,Temperature!$AC$17,Temperature!$AF$17,Temperature!$AI$17,Temperature!$AL$17)</c15:sqref>
                        </c15:formulaRef>
                      </c:ext>
                    </c:extLst>
                    <c:numCache>
                      <c:formatCode>0;\-0;;@</c:formatCode>
                      <c:ptCount val="12"/>
                      <c:pt idx="0">
                        <c:v>7</c:v>
                      </c:pt>
                      <c:pt idx="1">
                        <c:v>-38</c:v>
                      </c:pt>
                      <c:pt idx="2">
                        <c:v>8</c:v>
                      </c:pt>
                      <c:pt idx="3">
                        <c:v>8</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0-9136-48DC-9AB6-8BAC7D2C97E8}"/>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Temperature!$B$18</c15:sqref>
                        </c15:formulaRef>
                      </c:ext>
                    </c:extLst>
                    <c:strCache>
                      <c:ptCount val="1"/>
                      <c:pt idx="0">
                        <c:v>No.2 Deck Seal Pump</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(Temperature!$E$18,Temperature!$H$18,Temperature!$K$18,Temperature!$N$18,Temperature!$Q$18,Temperature!$T$18,Temperature!$W$18,Temperature!$Z$18,Temperature!$AC$18,Temperature!$AF$18,Temperature!$AI$18,Temperature!$AL$18)</c15:sqref>
                        </c15:formulaRef>
                      </c:ext>
                    </c:extLst>
                    <c:numCache>
                      <c:formatCode>0;\-0;;@</c:formatCode>
                      <c:ptCount val="12"/>
                      <c:pt idx="0">
                        <c:v>-25</c:v>
                      </c:pt>
                      <c:pt idx="1">
                        <c:v>-1</c:v>
                      </c:pt>
                      <c:pt idx="2">
                        <c:v>-28</c:v>
                      </c:pt>
                      <c:pt idx="3">
                        <c:v>-32</c:v>
                      </c:pt>
                      <c:pt idx="4">
                        <c:v>10</c:v>
                      </c:pt>
                      <c:pt idx="5">
                        <c:v>5</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1-9136-48DC-9AB6-8BAC7D2C97E8}"/>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Temperature!$B$19</c15:sqref>
                        </c15:formulaRef>
                      </c:ext>
                    </c:extLst>
                    <c:strCache>
                      <c:ptCount val="1"/>
                      <c:pt idx="0">
                        <c:v>IGG Scrubber Pump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(Temperature!$E$19,Temperature!$H$19,Temperature!$K$19,Temperature!$N$19,Temperature!$Q$19,Temperature!$T$19,Temperature!$W$19,Temperature!$Z$19,Temperature!$AC$19,Temperature!$AF$19,Temperature!$AI$19,Temperature!$AL$19)</c15:sqref>
                        </c15:formulaRef>
                      </c:ext>
                    </c:extLst>
                    <c:numCache>
                      <c:formatCode>0;\-0;;@</c:formatCode>
                      <c:ptCount val="12"/>
                      <c:pt idx="0">
                        <c:v>13</c:v>
                      </c:pt>
                      <c:pt idx="1">
                        <c:v>2</c:v>
                      </c:pt>
                      <c:pt idx="2">
                        <c:v>10</c:v>
                      </c:pt>
                      <c:pt idx="3">
                        <c:v>12</c:v>
                      </c:pt>
                      <c:pt idx="4">
                        <c:v>12</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1-9136-48DC-9AB6-8BAC7D2C97E8}"/>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Temperature!$B$20</c15:sqref>
                        </c15:formulaRef>
                      </c:ext>
                    </c:extLst>
                    <c:strCache>
                      <c:ptCount val="1"/>
                      <c:pt idx="0">
                        <c:v>No.1 G/E L.O. Priming Pump</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(Temperature!$E$20,Temperature!$H$20,Temperature!$K$20,Temperature!$N$20,Temperature!$Q$20,Temperature!$T$20,Temperature!$W$20,Temperature!$Z$20,Temperature!$AC$20,Temperature!$AF$20,Temperature!$AI$20,Temperature!$AL$20)</c15:sqref>
                        </c15:formulaRef>
                      </c:ext>
                    </c:extLst>
                    <c:numCache>
                      <c:formatCode>0;\-0;;@</c:formatCode>
                      <c:ptCount val="12"/>
                      <c:pt idx="0">
                        <c:v>12</c:v>
                      </c:pt>
                      <c:pt idx="1">
                        <c:v>0</c:v>
                      </c:pt>
                      <c:pt idx="2">
                        <c:v>8</c:v>
                      </c:pt>
                      <c:pt idx="3">
                        <c:v>10</c:v>
                      </c:pt>
                      <c:pt idx="4">
                        <c:v>10</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2-9136-48DC-9AB6-8BAC7D2C97E8}"/>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Temperature!$B$21</c15:sqref>
                        </c15:formulaRef>
                      </c:ext>
                    </c:extLst>
                    <c:strCache>
                      <c:ptCount val="1"/>
                      <c:pt idx="0">
                        <c:v>No.2 G/E L.O. Priming Pump</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(Temperature!$E$21,Temperature!$H$21,Temperature!$K$21,Temperature!$N$21,Temperature!$Q$21,Temperature!$T$21,Temperature!$W$21,Temperature!$Z$21,Temperature!$AC$21,Temperature!$AF$21,Temperature!$AI$21,Temperature!$AL$21)</c15:sqref>
                        </c15:formulaRef>
                      </c:ext>
                    </c:extLst>
                    <c:numCache>
                      <c:formatCode>0;\-0;;@</c:formatCode>
                      <c:ptCount val="12"/>
                      <c:pt idx="0">
                        <c:v>11</c:v>
                      </c:pt>
                      <c:pt idx="1">
                        <c:v>0</c:v>
                      </c:pt>
                      <c:pt idx="2">
                        <c:v>9</c:v>
                      </c:pt>
                      <c:pt idx="3">
                        <c:v>9</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3-9136-48DC-9AB6-8BAC7D2C97E8}"/>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Temperature!$B$22</c15:sqref>
                        </c15:formulaRef>
                      </c:ext>
                    </c:extLst>
                    <c:strCache>
                      <c:ptCount val="1"/>
                      <c:pt idx="0">
                        <c:v>No.3 G/E L.O. Priming Pump</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(Temperature!$E$22,Temperature!$H$22,Temperature!$K$22,Temperature!$N$22,Temperature!$Q$22,Temperature!$T$22,Temperature!$W$22,Temperature!$Z$22,Temperature!$AC$22,Temperature!$AF$22,Temperature!$AI$22,Temperature!$AL$22)</c15:sqref>
                        </c15:formulaRef>
                      </c:ext>
                    </c:extLst>
                    <c:numCache>
                      <c:formatCode>0;\-0;;@</c:formatCode>
                      <c:ptCount val="12"/>
                      <c:pt idx="0">
                        <c:v>10</c:v>
                      </c:pt>
                      <c:pt idx="1">
                        <c:v>-2</c:v>
                      </c:pt>
                      <c:pt idx="2">
                        <c:v>8</c:v>
                      </c:pt>
                      <c:pt idx="3">
                        <c:v>-32</c:v>
                      </c:pt>
                      <c:pt idx="4">
                        <c:v>8</c:v>
                      </c:pt>
                      <c:pt idx="5">
                        <c:v>4</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4-9136-48DC-9AB6-8BAC7D2C97E8}"/>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Temperature!$B$23</c15:sqref>
                        </c15:formulaRef>
                      </c:ext>
                    </c:extLst>
                    <c:strCache>
                      <c:ptCount val="1"/>
                      <c:pt idx="0">
                        <c:v>No.1 M/E FO Circulating Pump</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(Temperature!$E$23,Temperature!$H$23,Temperature!$K$23,Temperature!$N$23,Temperature!$Q$23,Temperature!$T$23,Temperature!$W$23,Temperature!$Z$23,Temperature!$AC$23,Temperature!$AF$23,Temperature!$AI$23,Temperature!$AL$23)</c15:sqref>
                        </c15:formulaRef>
                      </c:ext>
                    </c:extLst>
                    <c:numCache>
                      <c:formatCode>0;\-0;;@</c:formatCode>
                      <c:ptCount val="12"/>
                      <c:pt idx="0">
                        <c:v>-25</c:v>
                      </c:pt>
                      <c:pt idx="1">
                        <c:v>6</c:v>
                      </c:pt>
                      <c:pt idx="2">
                        <c:v>11</c:v>
                      </c:pt>
                      <c:pt idx="3">
                        <c:v>16</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5-9136-48DC-9AB6-8BAC7D2C97E8}"/>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Temperature!$B$24</c15:sqref>
                        </c15:formulaRef>
                      </c:ext>
                    </c:extLst>
                    <c:strCache>
                      <c:ptCount val="1"/>
                      <c:pt idx="0">
                        <c:v>No.2 M/E FO Circulating Pump</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(Temperature!$E$24,Temperature!$H$24,Temperature!$K$24,Temperature!$N$24,Temperature!$Q$24,Temperature!$T$24,Temperature!$W$24,Temperature!$Z$24,Temperature!$AC$24,Temperature!$AF$24,Temperature!$AI$24,Temperature!$AL$24)</c15:sqref>
                        </c15:formulaRef>
                      </c:ext>
                    </c:extLst>
                    <c:numCache>
                      <c:formatCode>0;\-0;;@</c:formatCode>
                      <c:ptCount val="12"/>
                      <c:pt idx="0">
                        <c:v>13</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6-9136-48DC-9AB6-8BAC7D2C97E8}"/>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Temperature!$B$25</c15:sqref>
                        </c15:formulaRef>
                      </c:ext>
                    </c:extLst>
                    <c:strCache>
                      <c:ptCount val="1"/>
                      <c:pt idx="0">
                        <c:v>Economiser Feed water Pump</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(Temperature!$E$25,Temperature!$H$25,Temperature!$K$25,Temperature!$N$25,Temperature!$Q$25,Temperature!$T$25,Temperature!$W$25,Temperature!$Z$25,Temperature!$AC$25,Temperature!$AF$25,Temperature!$AI$25,Temperature!$AL$25)</c15:sqref>
                        </c15:formulaRef>
                      </c:ext>
                    </c:extLst>
                    <c:numCache>
                      <c:formatCode>0;\-0;;@</c:formatCode>
                      <c:ptCount val="12"/>
                      <c:pt idx="0">
                        <c:v>-25</c:v>
                      </c:pt>
                      <c:pt idx="1">
                        <c:v>-38</c:v>
                      </c:pt>
                      <c:pt idx="2">
                        <c:v>-28</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7-9136-48DC-9AB6-8BAC7D2C97E8}"/>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Temperature!$B$30</c15:sqref>
                        </c15:formulaRef>
                      </c:ext>
                    </c:extLst>
                    <c:strCache>
                      <c:ptCount val="1"/>
                      <c:pt idx="0">
                        <c:v>No.1 Main LO Pump </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(Temperature!$E$30,Temperature!$H$30,Temperature!$K$30,Temperature!$N$30,Temperature!$Q$30,Temperature!$T$30,Temperature!$W$30,Temperature!$Z$30,Temperature!$AC$30,Temperature!$AF$30,Temperature!$AI$30,Temperature!$AL$30)</c15:sqref>
                        </c15:formulaRef>
                      </c:ext>
                    </c:extLst>
                    <c:numCache>
                      <c:formatCode>0;\-0;;@</c:formatCode>
                      <c:ptCount val="12"/>
                      <c:pt idx="0">
                        <c:v>-25</c:v>
                      </c:pt>
                      <c:pt idx="1">
                        <c:v>6</c:v>
                      </c:pt>
                      <c:pt idx="2">
                        <c:v>-28</c:v>
                      </c:pt>
                      <c:pt idx="3">
                        <c:v>11</c:v>
                      </c:pt>
                      <c:pt idx="4">
                        <c:v>-28</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C-9136-48DC-9AB6-8BAC7D2C97E8}"/>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Temperature!$B$31</c15:sqref>
                        </c15:formulaRef>
                      </c:ext>
                    </c:extLst>
                    <c:strCache>
                      <c:ptCount val="1"/>
                      <c:pt idx="0">
                        <c:v>No.2 Main LO Pump </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(Temperature!$E$31,Temperature!$H$31,Temperature!$K$31,Temperature!$N$31,Temperature!$Q$31,Temperature!$T$31,Temperature!$W$31,Temperature!$Z$31,Temperature!$AC$31,Temperature!$AF$31,Temperature!$AI$31,Temperature!$AL$31)</c15:sqref>
                        </c15:formulaRef>
                      </c:ext>
                    </c:extLst>
                    <c:numCache>
                      <c:formatCode>0;\-0;;@</c:formatCode>
                      <c:ptCount val="12"/>
                      <c:pt idx="0">
                        <c:v>11</c:v>
                      </c:pt>
                      <c:pt idx="1">
                        <c:v>-38</c:v>
                      </c:pt>
                      <c:pt idx="2">
                        <c:v>9</c:v>
                      </c:pt>
                      <c:pt idx="3">
                        <c:v>-32</c:v>
                      </c:pt>
                      <c:pt idx="4">
                        <c:v>12</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D-9136-48DC-9AB6-8BAC7D2C97E8}"/>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Temperature!$B$32</c15:sqref>
                        </c15:formulaRef>
                      </c:ext>
                    </c:extLst>
                    <c:strCache>
                      <c:ptCount val="1"/>
                      <c:pt idx="0">
                        <c:v>No.1 Steering Gear</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(Temperature!$E$32,Temperature!$H$32,Temperature!$K$32,Temperature!$N$32,Temperature!$Q$32,Temperature!$T$32,Temperature!$W$32,Temperature!$Z$32,Temperature!$AC$32,Temperature!$AF$32,Temperature!$AI$32,Temperature!$AL$32)</c15:sqref>
                        </c15:formulaRef>
                      </c:ext>
                    </c:extLst>
                    <c:numCache>
                      <c:formatCode>0;\-0;;@</c:formatCode>
                      <c:ptCount val="12"/>
                      <c:pt idx="0">
                        <c:v>11</c:v>
                      </c:pt>
                      <c:pt idx="1">
                        <c:v>4</c:v>
                      </c:pt>
                      <c:pt idx="2">
                        <c:v>10</c:v>
                      </c:pt>
                      <c:pt idx="3">
                        <c:v>10</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E-9136-48DC-9AB6-8BAC7D2C97E8}"/>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Temperature!$B$33</c15:sqref>
                        </c15:formulaRef>
                      </c:ext>
                    </c:extLst>
                    <c:strCache>
                      <c:ptCount val="1"/>
                      <c:pt idx="0">
                        <c:v>No.2 Steering Gear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(Temperature!$E$33,Temperature!$H$33,Temperature!$K$33,Temperature!$N$33,Temperature!$Q$33,Temperature!$T$33,Temperature!$W$33,Temperature!$Z$33,Temperature!$AC$33,Temperature!$AF$33,Temperature!$AI$33,Temperature!$AL$33)</c15:sqref>
                        </c15:formulaRef>
                      </c:ext>
                    </c:extLst>
                    <c:numCache>
                      <c:formatCode>0;\-0;;@</c:formatCode>
                      <c:ptCount val="12"/>
                      <c:pt idx="0">
                        <c:v>12</c:v>
                      </c:pt>
                      <c:pt idx="1">
                        <c:v>4</c:v>
                      </c:pt>
                      <c:pt idx="2">
                        <c:v>10</c:v>
                      </c:pt>
                      <c:pt idx="3">
                        <c:v>11</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F-9136-48DC-9AB6-8BAC7D2C97E8}"/>
                  </c:ext>
                </c:extLst>
              </c15:ser>
            </c15:filteredLineSeries>
          </c:ext>
        </c:extLst>
      </c:lineChart>
      <c:catAx>
        <c:axId val="41042688"/>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18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1043840"/>
        <c:crosses val="autoZero"/>
        <c:auto val="1"/>
        <c:lblAlgn val="ctr"/>
        <c:lblOffset val="100"/>
        <c:noMultiLvlLbl val="0"/>
      </c:catAx>
      <c:valAx>
        <c:axId val="410438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1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SG" sz="2000" b="1" baseline="0"/>
              <a:t>Main LO Pump-Diff from E/R Temp</a:t>
            </a:r>
            <a:endParaRPr lang="en-SG" sz="2000" b="1"/>
          </a:p>
        </c:rich>
      </c:tx>
      <c:overlay val="0"/>
      <c:spPr>
        <a:noFill/>
        <a:ln>
          <a:noFill/>
        </a:ln>
        <a:effectLst/>
      </c:spPr>
    </c:title>
    <c:autoTitleDeleted val="0"/>
    <c:plotArea>
      <c:layout>
        <c:manualLayout>
          <c:layoutTarget val="inner"/>
          <c:xMode val="edge"/>
          <c:yMode val="edge"/>
          <c:x val="2.6217571037680958E-2"/>
          <c:y val="9.1239657494952914E-2"/>
          <c:w val="0.9667262001249286"/>
          <c:h val="0.67534297747665262"/>
        </c:manualLayout>
      </c:layout>
      <c:lineChart>
        <c:grouping val="standard"/>
        <c:varyColors val="0"/>
        <c:ser>
          <c:idx val="28"/>
          <c:order val="28"/>
          <c:tx>
            <c:strRef>
              <c:f>Temperature!$B$30</c:f>
              <c:strCache>
                <c:ptCount val="1"/>
                <c:pt idx="0">
                  <c:v>No.1 Main LO Pump </c:v>
                </c:pt>
              </c:strCache>
              <c:extLst xmlns:c15="http://schemas.microsoft.com/office/drawing/2012/chart"/>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(Temperature!$E$30,Temperature!$H$30,Temperature!$K$30,Temperature!$N$30,Temperature!$Q$30,Temperature!$T$30,Temperature!$W$30,Temperature!$Z$30,Temperature!$AC$30,Temperature!$AF$30,Temperature!$AI$30,Temperature!$AL$30)</c:f>
              <c:numCache>
                <c:formatCode>0;\-0;;@</c:formatCode>
                <c:ptCount val="12"/>
                <c:pt idx="0">
                  <c:v>-25</c:v>
                </c:pt>
                <c:pt idx="1">
                  <c:v>6</c:v>
                </c:pt>
                <c:pt idx="2">
                  <c:v>-28</c:v>
                </c:pt>
                <c:pt idx="3">
                  <c:v>11</c:v>
                </c:pt>
                <c:pt idx="4">
                  <c:v>-28</c:v>
                </c:pt>
                <c:pt idx="5">
                  <c:v>12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C-CF62-4E03-937E-456B5793F641}"/>
            </c:ext>
          </c:extLst>
        </c:ser>
        <c:ser>
          <c:idx val="29"/>
          <c:order val="29"/>
          <c:tx>
            <c:strRef>
              <c:f>Temperature!$B$31</c:f>
              <c:strCache>
                <c:ptCount val="1"/>
                <c:pt idx="0">
                  <c:v>No.2 Main LO Pump </c:v>
                </c:pt>
              </c:strCache>
              <c:extLst xmlns:c15="http://schemas.microsoft.com/office/drawing/2012/chart"/>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(Temperature!$E$31,Temperature!$H$31,Temperature!$K$31,Temperature!$N$31,Temperature!$Q$31,Temperature!$T$31,Temperature!$W$31,Temperature!$Z$31,Temperature!$AC$31,Temperature!$AF$31,Temperature!$AI$31,Temperature!$AL$31)</c:f>
              <c:numCache>
                <c:formatCode>0;\-0;;@</c:formatCode>
                <c:ptCount val="12"/>
                <c:pt idx="0">
                  <c:v>11</c:v>
                </c:pt>
                <c:pt idx="1">
                  <c:v>-38</c:v>
                </c:pt>
                <c:pt idx="2">
                  <c:v>9</c:v>
                </c:pt>
                <c:pt idx="3">
                  <c:v>-32</c:v>
                </c:pt>
                <c:pt idx="4">
                  <c:v>12</c:v>
                </c:pt>
                <c:pt idx="5">
                  <c:v>-32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D-CF62-4E03-937E-456B5793F641}"/>
            </c:ext>
          </c:extLst>
        </c:ser>
        <c:dLbls>
          <c:showLegendKey val="0"/>
          <c:showVal val="0"/>
          <c:showCatName val="0"/>
          <c:showSerName val="0"/>
          <c:showPercent val="0"/>
          <c:showBubbleSize val="0"/>
        </c:dLbls>
        <c:marker val="1"/>
        <c:smooth val="0"/>
        <c:axId val="42364928"/>
        <c:axId val="42366464"/>
        <c:extLst>
          <c:ext xmlns:c15="http://schemas.microsoft.com/office/drawing/2012/chart" uri="{02D57815-91ED-43cb-92C2-25804820EDAC}">
            <c15:filteredLineSeries>
              <c15:ser>
                <c:idx val="0"/>
                <c:order val="0"/>
                <c:tx>
                  <c:strRef>
                    <c:extLst>
                      <c:ext uri="{02D57815-91ED-43cb-92C2-25804820EDAC}">
                        <c15:formulaRef>
                          <c15:sqref>Temperature!$B$6</c15:sqref>
                        </c15:formulaRef>
                      </c:ext>
                    </c:extLst>
                    <c:strCache>
                      <c:ptCount val="1"/>
                      <c:pt idx="0">
                        <c:v>E/R Temperature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extLst>
                      <c:ex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c:ext uri="{02D57815-91ED-43cb-92C2-25804820EDAC}">
                        <c15:formulaRef>
                          <c15:sqref>(Temperature!$E$6,Temperature!$H$6,Temperature!$K$6,Temperature!$N$6,Temperature!$Q$6,Temperature!$T$6,Temperature!$W$6,Temperature!$Z$6,Temperature!$AC$6,Temperature!$AF$6,Temperature!$AI$6,Temperature!$AL$6)</c15:sqref>
                        </c15:formulaRef>
                      </c:ext>
                    </c:extLst>
                    <c:numCache>
                      <c:formatCode>0;\-0;;@</c:formatCode>
                      <c:ptCount val="12"/>
                    </c:numCache>
                  </c:numRef>
                </c:val>
                <c:smooth val="0"/>
                <c:extLst>
                  <c:ext xmlns:c16="http://schemas.microsoft.com/office/drawing/2014/chart" uri="{C3380CC4-5D6E-409C-BE32-E72D297353CC}">
                    <c16:uniqueId val="{00000003-CF62-4E03-937E-456B5793F641}"/>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Temperature!$B$7</c15:sqref>
                        </c15:formulaRef>
                      </c:ext>
                    </c:extLst>
                    <c:strCache>
                      <c:ptCount val="1"/>
                      <c:pt idx="0">
                        <c:v>No.1 Main Air Compressor</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(Temperature!$E$7,Temperature!$H$7,Temperature!$K$7,Temperature!$N$7,Temperature!$Q$7,Temperature!$T$7,Temperature!$W$7,Temperature!$Z$7,Temperature!$AC$7,Temperature!$AF$7,Temperature!$AI$7,Temperature!$AL$7)</c15:sqref>
                        </c15:formulaRef>
                      </c:ext>
                    </c:extLst>
                    <c:numCache>
                      <c:formatCode>0;\-0;;@</c:formatCode>
                      <c:ptCount val="12"/>
                      <c:pt idx="0">
                        <c:v>13</c:v>
                      </c:pt>
                      <c:pt idx="1">
                        <c:v>6</c:v>
                      </c:pt>
                      <c:pt idx="2">
                        <c:v>9</c:v>
                      </c:pt>
                      <c:pt idx="3">
                        <c:v>11</c:v>
                      </c:pt>
                      <c:pt idx="4">
                        <c:v>14</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4-CF62-4E03-937E-456B5793F641}"/>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Temperature!$B$8</c15:sqref>
                        </c15:formulaRef>
                      </c:ext>
                    </c:extLst>
                    <c:strCache>
                      <c:ptCount val="1"/>
                      <c:pt idx="0">
                        <c:v>No.2 Main Air Compressor</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(Temperature!$E$8,Temperature!$H$8,Temperature!$K$8,Temperature!$N$8,Temperature!$Q$8,Temperature!$T$8,Temperature!$W$8,Temperature!$Z$8,Temperature!$AC$8,Temperature!$AF$8,Temperature!$AI$8,Temperature!$AL$8)</c15:sqref>
                        </c15:formulaRef>
                      </c:ext>
                    </c:extLst>
                    <c:numCache>
                      <c:formatCode>0;\-0;;@</c:formatCode>
                      <c:ptCount val="12"/>
                      <c:pt idx="0">
                        <c:v>11</c:v>
                      </c:pt>
                      <c:pt idx="1">
                        <c:v>6</c:v>
                      </c:pt>
                      <c:pt idx="2">
                        <c:v>10</c:v>
                      </c:pt>
                      <c:pt idx="3">
                        <c:v>12</c:v>
                      </c:pt>
                      <c:pt idx="4">
                        <c:v>12</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5-CF62-4E03-937E-456B5793F641}"/>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Temperature!$B$9</c15:sqref>
                        </c15:formulaRef>
                      </c:ext>
                    </c:extLst>
                    <c:strCache>
                      <c:ptCount val="1"/>
                      <c:pt idx="0">
                        <c:v>No.1 Main Cooling S.W. Pump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(Temperature!$E$9,Temperature!$H$9,Temperature!$K$9,Temperature!$N$9,Temperature!$Q$9,Temperature!$T$9,Temperature!$W$9,Temperature!$Z$9,Temperature!$AC$9,Temperature!$AF$9,Temperature!$AI$9,Temperature!$AL$9)</c15:sqref>
                        </c15:formulaRef>
                      </c:ext>
                    </c:extLst>
                    <c:numCache>
                      <c:formatCode>0;\-0;;@</c:formatCode>
                      <c:ptCount val="12"/>
                      <c:pt idx="0">
                        <c:v>10</c:v>
                      </c:pt>
                      <c:pt idx="1">
                        <c:v>-38</c:v>
                      </c:pt>
                      <c:pt idx="2">
                        <c:v>11</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CF62-4E03-937E-456B5793F641}"/>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Temperature!$B$10</c15:sqref>
                        </c15:formulaRef>
                      </c:ext>
                    </c:extLst>
                    <c:strCache>
                      <c:ptCount val="1"/>
                      <c:pt idx="0">
                        <c:v>No.2 Main Cooling S.W. Pump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(Temperature!$E$10,Temperature!$H$10,Temperature!$K$10,Temperature!$N$10,Temperature!$Q$10,Temperature!$T$10,Temperature!$W$10,Temperature!$Z$10,Temperature!$AC$10,Temperature!$AF$10,Temperature!$AI$10,Temperature!$AL$10)</c15:sqref>
                        </c15:formulaRef>
                      </c:ext>
                    </c:extLst>
                    <c:numCache>
                      <c:formatCode>0;\-0;;@</c:formatCode>
                      <c:ptCount val="12"/>
                      <c:pt idx="0">
                        <c:v>-25</c:v>
                      </c:pt>
                      <c:pt idx="1">
                        <c:v>4</c:v>
                      </c:pt>
                      <c:pt idx="2">
                        <c:v>-28</c:v>
                      </c:pt>
                      <c:pt idx="3">
                        <c:v>-32</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7-CF62-4E03-937E-456B5793F641}"/>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Temperature!$B$11</c15:sqref>
                        </c15:formulaRef>
                      </c:ext>
                    </c:extLst>
                    <c:strCache>
                      <c:ptCount val="1"/>
                      <c:pt idx="0">
                        <c:v>No.3 Main Cooling S.W. Pump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(Temperature!$E$11,Temperature!$H$11,Temperature!$K$11,Temperature!$N$11,Temperature!$Q$11,Temperature!$T$11,Temperature!$W$11,Temperature!$Z$11,Temperature!$AC$11,Temperature!$AF$11,Temperature!$AI$11,Temperature!$AL$11)</c15:sqref>
                        </c15:formulaRef>
                      </c:ext>
                    </c:extLst>
                    <c:numCache>
                      <c:formatCode>0;\-0;;@</c:formatCode>
                      <c:ptCount val="12"/>
                      <c:pt idx="0">
                        <c:v>-25</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8-CF62-4E03-937E-456B5793F641}"/>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Temperature!$B$12</c15:sqref>
                        </c15:formulaRef>
                      </c:ext>
                    </c:extLst>
                    <c:strCache>
                      <c:ptCount val="1"/>
                      <c:pt idx="0">
                        <c:v>FWG Ejector pump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(Temperature!$E$12,Temperature!$H$12,Temperature!$K$12,Temperature!$N$12,Temperature!$Q$12,Temperature!$T$12,Temperature!$W$12,Temperature!$Z$12,Temperature!$AC$12,Temperature!$AF$12,Temperature!$AI$12,Temperature!$AL$12)</c15:sqref>
                        </c15:formulaRef>
                      </c:ext>
                    </c:extLst>
                    <c:numCache>
                      <c:formatCode>0;\-0;;@</c:formatCode>
                      <c:ptCount val="12"/>
                      <c:pt idx="0">
                        <c:v>11</c:v>
                      </c:pt>
                      <c:pt idx="1">
                        <c:v>2</c:v>
                      </c:pt>
                      <c:pt idx="2">
                        <c:v>9</c:v>
                      </c:pt>
                      <c:pt idx="3">
                        <c:v>11</c:v>
                      </c:pt>
                      <c:pt idx="4">
                        <c:v>16</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9-CF62-4E03-937E-456B5793F641}"/>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Temperature!$B$13</c15:sqref>
                        </c15:formulaRef>
                      </c:ext>
                    </c:extLst>
                    <c:strCache>
                      <c:ptCount val="1"/>
                      <c:pt idx="0">
                        <c:v>No.1 IGG Blower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(Temperature!$E$13,Temperature!$H$13,Temperature!$K$13,Temperature!$N$13,Temperature!$Q$13,Temperature!$T$13,Temperature!$W$13,Temperature!$Z$13,Temperature!$AC$13,Temperature!$AF$13,Temperature!$AI$13,Temperature!$AL$13)</c15:sqref>
                        </c15:formulaRef>
                      </c:ext>
                    </c:extLst>
                    <c:numCache>
                      <c:formatCode>0;\-0;;@</c:formatCode>
                      <c:ptCount val="12"/>
                      <c:pt idx="0">
                        <c:v>-25</c:v>
                      </c:pt>
                      <c:pt idx="1">
                        <c:v>4</c:v>
                      </c:pt>
                      <c:pt idx="2">
                        <c:v>-28</c:v>
                      </c:pt>
                      <c:pt idx="3">
                        <c:v>9</c:v>
                      </c:pt>
                      <c:pt idx="4">
                        <c:v>-28</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A-CF62-4E03-937E-456B5793F641}"/>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Temperature!$B$14</c15:sqref>
                        </c15:formulaRef>
                      </c:ext>
                    </c:extLst>
                    <c:strCache>
                      <c:ptCount val="1"/>
                      <c:pt idx="0">
                        <c:v>No.2 IGG Blower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(Temperature!$E$14,Temperature!$H$14,Temperature!$K$14,Temperature!$N$14,Temperature!$Q$14,Temperature!$T$14,Temperature!$W$14,Temperature!$Z$14,Temperature!$AC$14,Temperature!$AF$14,Temperature!$AI$14,Temperature!$AL$14)</c15:sqref>
                        </c15:formulaRef>
                      </c:ext>
                    </c:extLst>
                    <c:numCache>
                      <c:formatCode>0;\-0;;@</c:formatCode>
                      <c:ptCount val="12"/>
                      <c:pt idx="0">
                        <c:v>8</c:v>
                      </c:pt>
                      <c:pt idx="1">
                        <c:v>-38</c:v>
                      </c:pt>
                      <c:pt idx="2">
                        <c:v>9</c:v>
                      </c:pt>
                      <c:pt idx="3">
                        <c:v>13</c:v>
                      </c:pt>
                      <c:pt idx="4">
                        <c:v>14</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B-CF62-4E03-937E-456B5793F641}"/>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C-CF62-4E03-937E-456B5793F641}"/>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D-CF62-4E03-937E-456B5793F641}"/>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E-CF62-4E03-937E-456B5793F641}"/>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F-CF62-4E03-937E-456B5793F641}"/>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Temperature!$B$15</c15:sqref>
                        </c15:formulaRef>
                      </c:ext>
                    </c:extLst>
                    <c:strCache>
                      <c:ptCount val="1"/>
                      <c:pt idx="0">
                        <c:v>Incinerator Flue Gas Fan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(Temperature!$E$15,Temperature!$H$15,Temperature!$K$15,Temperature!$N$15,Temperature!$Q$15,Temperature!$T$15,Temperature!$W$15,Temperature!$Z$15,Temperature!$AC$15,Temperature!$AF$15,Temperature!$AI$15,Temperature!$AL$15)</c15:sqref>
                        </c15:formulaRef>
                      </c:ext>
                    </c:extLst>
                    <c:numCache>
                      <c:formatCode>0;\-0;;@</c:formatCode>
                      <c:ptCount val="12"/>
                      <c:pt idx="0">
                        <c:v>9</c:v>
                      </c:pt>
                      <c:pt idx="1">
                        <c:v>4</c:v>
                      </c:pt>
                      <c:pt idx="2">
                        <c:v>8</c:v>
                      </c:pt>
                      <c:pt idx="3">
                        <c:v>9</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0-CF62-4E03-937E-456B5793F641}"/>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Temperature!$B$16</c15:sqref>
                        </c15:formulaRef>
                      </c:ext>
                    </c:extLst>
                    <c:strCache>
                      <c:ptCount val="1"/>
                      <c:pt idx="0">
                        <c:v>Incinerator Blower Motor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(Temperature!$E$16,Temperature!$H$16,Temperature!$K$16,Temperature!$N$16,Temperature!$Q$16,Temperature!$T$16,Temperature!$W$16,Temperature!$Z$16,Temperature!$AC$16,Temperature!$AF$16,Temperature!$AI$16,Temperature!$AL$16)</c15:sqref>
                        </c15:formulaRef>
                      </c:ext>
                    </c:extLst>
                    <c:numCache>
                      <c:formatCode>0;\-0;;@</c:formatCode>
                      <c:ptCount val="12"/>
                      <c:pt idx="0">
                        <c:v>10</c:v>
                      </c:pt>
                      <c:pt idx="1">
                        <c:v>0</c:v>
                      </c:pt>
                      <c:pt idx="2">
                        <c:v>7</c:v>
                      </c:pt>
                      <c:pt idx="3">
                        <c:v>10</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1-CF62-4E03-937E-456B5793F641}"/>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Temperature!$B$17</c15:sqref>
                        </c15:formulaRef>
                      </c:ext>
                    </c:extLst>
                    <c:strCache>
                      <c:ptCount val="1"/>
                      <c:pt idx="0">
                        <c:v>No.1 Deck Seal Pump</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(Temperature!$E$17,Temperature!$H$17,Temperature!$K$17,Temperature!$N$17,Temperature!$Q$17,Temperature!$T$17,Temperature!$W$17,Temperature!$Z$17,Temperature!$AC$17,Temperature!$AF$17,Temperature!$AI$17,Temperature!$AL$17)</c15:sqref>
                        </c15:formulaRef>
                      </c:ext>
                    </c:extLst>
                    <c:numCache>
                      <c:formatCode>0;\-0;;@</c:formatCode>
                      <c:ptCount val="12"/>
                      <c:pt idx="0">
                        <c:v>7</c:v>
                      </c:pt>
                      <c:pt idx="1">
                        <c:v>-38</c:v>
                      </c:pt>
                      <c:pt idx="2">
                        <c:v>8</c:v>
                      </c:pt>
                      <c:pt idx="3">
                        <c:v>8</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2-CF62-4E03-937E-456B5793F641}"/>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Temperature!$B$18</c15:sqref>
                        </c15:formulaRef>
                      </c:ext>
                    </c:extLst>
                    <c:strCache>
                      <c:ptCount val="1"/>
                      <c:pt idx="0">
                        <c:v>No.2 Deck Seal Pump</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(Temperature!$E$18,Temperature!$H$18,Temperature!$K$18,Temperature!$N$18,Temperature!$Q$18,Temperature!$T$18,Temperature!$W$18,Temperature!$Z$18,Temperature!$AC$18,Temperature!$AF$18,Temperature!$AI$18,Temperature!$AL$18)</c15:sqref>
                        </c15:formulaRef>
                      </c:ext>
                    </c:extLst>
                    <c:numCache>
                      <c:formatCode>0;\-0;;@</c:formatCode>
                      <c:ptCount val="12"/>
                      <c:pt idx="0">
                        <c:v>-25</c:v>
                      </c:pt>
                      <c:pt idx="1">
                        <c:v>-1</c:v>
                      </c:pt>
                      <c:pt idx="2">
                        <c:v>-28</c:v>
                      </c:pt>
                      <c:pt idx="3">
                        <c:v>-32</c:v>
                      </c:pt>
                      <c:pt idx="4">
                        <c:v>10</c:v>
                      </c:pt>
                      <c:pt idx="5">
                        <c:v>5</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3-CF62-4E03-937E-456B5793F641}"/>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Temperature!$B$19</c15:sqref>
                        </c15:formulaRef>
                      </c:ext>
                    </c:extLst>
                    <c:strCache>
                      <c:ptCount val="1"/>
                      <c:pt idx="0">
                        <c:v>IGG Scrubber Pump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(Temperature!$E$19,Temperature!$H$19,Temperature!$K$19,Temperature!$N$19,Temperature!$Q$19,Temperature!$T$19,Temperature!$W$19,Temperature!$Z$19,Temperature!$AC$19,Temperature!$AF$19,Temperature!$AI$19,Temperature!$AL$19)</c15:sqref>
                        </c15:formulaRef>
                      </c:ext>
                    </c:extLst>
                    <c:numCache>
                      <c:formatCode>0;\-0;;@</c:formatCode>
                      <c:ptCount val="12"/>
                      <c:pt idx="0">
                        <c:v>13</c:v>
                      </c:pt>
                      <c:pt idx="1">
                        <c:v>2</c:v>
                      </c:pt>
                      <c:pt idx="2">
                        <c:v>10</c:v>
                      </c:pt>
                      <c:pt idx="3">
                        <c:v>12</c:v>
                      </c:pt>
                      <c:pt idx="4">
                        <c:v>12</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4-CF62-4E03-937E-456B5793F641}"/>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Temperature!$B$20</c15:sqref>
                        </c15:formulaRef>
                      </c:ext>
                    </c:extLst>
                    <c:strCache>
                      <c:ptCount val="1"/>
                      <c:pt idx="0">
                        <c:v>No.1 G/E L.O. Priming Pump</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(Temperature!$E$20,Temperature!$H$20,Temperature!$K$20,Temperature!$N$20,Temperature!$Q$20,Temperature!$T$20,Temperature!$W$20,Temperature!$Z$20,Temperature!$AC$20,Temperature!$AF$20,Temperature!$AI$20,Temperature!$AL$20)</c15:sqref>
                        </c15:formulaRef>
                      </c:ext>
                    </c:extLst>
                    <c:numCache>
                      <c:formatCode>0;\-0;;@</c:formatCode>
                      <c:ptCount val="12"/>
                      <c:pt idx="0">
                        <c:v>12</c:v>
                      </c:pt>
                      <c:pt idx="1">
                        <c:v>0</c:v>
                      </c:pt>
                      <c:pt idx="2">
                        <c:v>8</c:v>
                      </c:pt>
                      <c:pt idx="3">
                        <c:v>10</c:v>
                      </c:pt>
                      <c:pt idx="4">
                        <c:v>10</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0-CF62-4E03-937E-456B5793F641}"/>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Temperature!$B$21</c15:sqref>
                        </c15:formulaRef>
                      </c:ext>
                    </c:extLst>
                    <c:strCache>
                      <c:ptCount val="1"/>
                      <c:pt idx="0">
                        <c:v>No.2 G/E L.O. Priming Pump</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(Temperature!$E$21,Temperature!$H$21,Temperature!$K$21,Temperature!$N$21,Temperature!$Q$21,Temperature!$T$21,Temperature!$W$21,Temperature!$Z$21,Temperature!$AC$21,Temperature!$AF$21,Temperature!$AI$21,Temperature!$AL$21)</c15:sqref>
                        </c15:formulaRef>
                      </c:ext>
                    </c:extLst>
                    <c:numCache>
                      <c:formatCode>0;\-0;;@</c:formatCode>
                      <c:ptCount val="12"/>
                      <c:pt idx="0">
                        <c:v>11</c:v>
                      </c:pt>
                      <c:pt idx="1">
                        <c:v>0</c:v>
                      </c:pt>
                      <c:pt idx="2">
                        <c:v>9</c:v>
                      </c:pt>
                      <c:pt idx="3">
                        <c:v>9</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1-CF62-4E03-937E-456B5793F641}"/>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Temperature!$B$22</c15:sqref>
                        </c15:formulaRef>
                      </c:ext>
                    </c:extLst>
                    <c:strCache>
                      <c:ptCount val="1"/>
                      <c:pt idx="0">
                        <c:v>No.3 G/E L.O. Priming Pump</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(Temperature!$E$22,Temperature!$H$22,Temperature!$K$22,Temperature!$N$22,Temperature!$Q$22,Temperature!$T$22,Temperature!$W$22,Temperature!$Z$22,Temperature!$AC$22,Temperature!$AF$22,Temperature!$AI$22,Temperature!$AL$22)</c15:sqref>
                        </c15:formulaRef>
                      </c:ext>
                    </c:extLst>
                    <c:numCache>
                      <c:formatCode>0;\-0;;@</c:formatCode>
                      <c:ptCount val="12"/>
                      <c:pt idx="0">
                        <c:v>10</c:v>
                      </c:pt>
                      <c:pt idx="1">
                        <c:v>-2</c:v>
                      </c:pt>
                      <c:pt idx="2">
                        <c:v>8</c:v>
                      </c:pt>
                      <c:pt idx="3">
                        <c:v>-32</c:v>
                      </c:pt>
                      <c:pt idx="4">
                        <c:v>8</c:v>
                      </c:pt>
                      <c:pt idx="5">
                        <c:v>4</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2-CF62-4E03-937E-456B5793F641}"/>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Temperature!$B$23</c15:sqref>
                        </c15:formulaRef>
                      </c:ext>
                    </c:extLst>
                    <c:strCache>
                      <c:ptCount val="1"/>
                      <c:pt idx="0">
                        <c:v>No.1 M/E FO Circulating Pump</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(Temperature!$E$23,Temperature!$H$23,Temperature!$K$23,Temperature!$N$23,Temperature!$Q$23,Temperature!$T$23,Temperature!$W$23,Temperature!$Z$23,Temperature!$AC$23,Temperature!$AF$23,Temperature!$AI$23,Temperature!$AL$23)</c15:sqref>
                        </c15:formulaRef>
                      </c:ext>
                    </c:extLst>
                    <c:numCache>
                      <c:formatCode>0;\-0;;@</c:formatCode>
                      <c:ptCount val="12"/>
                      <c:pt idx="0">
                        <c:v>-25</c:v>
                      </c:pt>
                      <c:pt idx="1">
                        <c:v>6</c:v>
                      </c:pt>
                      <c:pt idx="2">
                        <c:v>11</c:v>
                      </c:pt>
                      <c:pt idx="3">
                        <c:v>16</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5-CF62-4E03-937E-456B5793F641}"/>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Temperature!$B$24</c15:sqref>
                        </c15:formulaRef>
                      </c:ext>
                    </c:extLst>
                    <c:strCache>
                      <c:ptCount val="1"/>
                      <c:pt idx="0">
                        <c:v>No.2 M/E FO Circulating Pump</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(Temperature!$E$24,Temperature!$H$24,Temperature!$K$24,Temperature!$N$24,Temperature!$Q$24,Temperature!$T$24,Temperature!$W$24,Temperature!$Z$24,Temperature!$AC$24,Temperature!$AF$24,Temperature!$AI$24,Temperature!$AL$24)</c15:sqref>
                        </c15:formulaRef>
                      </c:ext>
                    </c:extLst>
                    <c:numCache>
                      <c:formatCode>0;\-0;;@</c:formatCode>
                      <c:ptCount val="12"/>
                      <c:pt idx="0">
                        <c:v>13</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6-CF62-4E03-937E-456B5793F641}"/>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Temperature!$B$25</c15:sqref>
                        </c15:formulaRef>
                      </c:ext>
                    </c:extLst>
                    <c:strCache>
                      <c:ptCount val="1"/>
                      <c:pt idx="0">
                        <c:v>Economiser Feed water Pump</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(Temperature!$E$25,Temperature!$H$25,Temperature!$K$25,Temperature!$N$25,Temperature!$Q$25,Temperature!$T$25,Temperature!$W$25,Temperature!$Z$25,Temperature!$AC$25,Temperature!$AF$25,Temperature!$AI$25,Temperature!$AL$25)</c15:sqref>
                        </c15:formulaRef>
                      </c:ext>
                    </c:extLst>
                    <c:numCache>
                      <c:formatCode>0;\-0;;@</c:formatCode>
                      <c:ptCount val="12"/>
                      <c:pt idx="0">
                        <c:v>-25</c:v>
                      </c:pt>
                      <c:pt idx="1">
                        <c:v>-38</c:v>
                      </c:pt>
                      <c:pt idx="2">
                        <c:v>-28</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7-CF62-4E03-937E-456B5793F641}"/>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Temperature!$B$26</c15:sqref>
                        </c15:formulaRef>
                      </c:ext>
                    </c:extLst>
                    <c:strCache>
                      <c:ptCount val="1"/>
                      <c:pt idx="0">
                        <c:v>STP Blower </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(Temperature!$E$26,Temperature!$H$26,Temperature!$K$26,Temperature!$N$26,Temperature!$Q$26,Temperature!$T$26,Temperature!$W$26,Temperature!$Z$26,Temperature!$AC$26,Temperature!$AF$26,Temperature!$AI$26,Temperature!$AL$26)</c15:sqref>
                        </c15:formulaRef>
                      </c:ext>
                    </c:extLst>
                    <c:numCache>
                      <c:formatCode>0;\-0;;@</c:formatCode>
                      <c:ptCount val="12"/>
                      <c:pt idx="0">
                        <c:v>11</c:v>
                      </c:pt>
                      <c:pt idx="1">
                        <c:v>6</c:v>
                      </c:pt>
                      <c:pt idx="2">
                        <c:v>7</c:v>
                      </c:pt>
                      <c:pt idx="3">
                        <c:v>7</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8-CF62-4E03-937E-456B5793F641}"/>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Temperature!$B$27</c15:sqref>
                        </c15:formulaRef>
                      </c:ext>
                    </c:extLst>
                    <c:strCache>
                      <c:ptCount val="1"/>
                      <c:pt idx="0">
                        <c:v>STP Discharge Pump</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(Temperature!$E$27,Temperature!$H$27,Temperature!$K$27,Temperature!$N$27,Temperature!$Q$27,Temperature!$T$27,Temperature!$W$27,Temperature!$Z$27,Temperature!$AC$27,Temperature!$AF$27,Temperature!$AI$27,Temperature!$AL$27)</c15:sqref>
                        </c15:formulaRef>
                      </c:ext>
                    </c:extLst>
                    <c:numCache>
                      <c:formatCode>0;\-0;;@</c:formatCode>
                      <c:ptCount val="12"/>
                      <c:pt idx="0">
                        <c:v>9</c:v>
                      </c:pt>
                      <c:pt idx="1">
                        <c:v>1</c:v>
                      </c:pt>
                      <c:pt idx="2">
                        <c:v>6</c:v>
                      </c:pt>
                      <c:pt idx="3">
                        <c:v>10</c:v>
                      </c:pt>
                      <c:pt idx="4">
                        <c:v>8</c:v>
                      </c:pt>
                      <c:pt idx="5">
                        <c:v>7</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9-CF62-4E03-937E-456B5793F641}"/>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Temperature!$B$28</c15:sqref>
                        </c15:formulaRef>
                      </c:ext>
                    </c:extLst>
                    <c:strCache>
                      <c:ptCount val="1"/>
                      <c:pt idx="0">
                        <c:v>STP Ejector Pump #1</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(Temperature!$E$28,Temperature!$H$28,Temperature!$K$28,Temperature!$N$28,Temperature!$Q$28,Temperature!$T$28,Temperature!$W$28,Temperature!$Z$28,Temperature!$AC$28,Temperature!$AF$28,Temperature!$AI$28,Temperature!$AL$28)</c15:sqref>
                        </c15:formulaRef>
                      </c:ext>
                    </c:extLst>
                    <c:numCache>
                      <c:formatCode>0;\-0;;@</c:formatCode>
                      <c:ptCount val="12"/>
                      <c:pt idx="0">
                        <c:v>11</c:v>
                      </c:pt>
                      <c:pt idx="1">
                        <c:v>-38</c:v>
                      </c:pt>
                      <c:pt idx="2">
                        <c:v>5</c:v>
                      </c:pt>
                      <c:pt idx="3">
                        <c:v>9</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A-CF62-4E03-937E-456B5793F641}"/>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Temperature!$B$29</c15:sqref>
                        </c15:formulaRef>
                      </c:ext>
                    </c:extLst>
                    <c:strCache>
                      <c:ptCount val="1"/>
                      <c:pt idx="0">
                        <c:v>STP Ejector Pump #2</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(Temperature!$E$29,Temperature!$H$29,Temperature!$K$29,Temperature!$N$29,Temperature!$Q$29,Temperature!$T$29,Temperature!$W$29,Temperature!$Z$29,Temperature!$AC$29,Temperature!$AF$29,Temperature!$AI$29,Temperature!$AL$29)</c15:sqref>
                        </c15:formulaRef>
                      </c:ext>
                    </c:extLst>
                    <c:numCache>
                      <c:formatCode>0;\-0;;@</c:formatCode>
                      <c:ptCount val="12"/>
                      <c:pt idx="0">
                        <c:v>-25</c:v>
                      </c:pt>
                      <c:pt idx="1">
                        <c:v>4</c:v>
                      </c:pt>
                      <c:pt idx="2">
                        <c:v>5</c:v>
                      </c:pt>
                      <c:pt idx="3">
                        <c:v>10</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B-CF62-4E03-937E-456B5793F641}"/>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Temperature!$B$32</c15:sqref>
                        </c15:formulaRef>
                      </c:ext>
                    </c:extLst>
                    <c:strCache>
                      <c:ptCount val="1"/>
                      <c:pt idx="0">
                        <c:v>No.1 Steering Gear</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(Temperature!$E$32,Temperature!$H$32,Temperature!$K$32,Temperature!$N$32,Temperature!$Q$32,Temperature!$T$32,Temperature!$W$32,Temperature!$Z$32,Temperature!$AC$32,Temperature!$AF$32,Temperature!$AI$32,Temperature!$AL$32)</c15:sqref>
                        </c15:formulaRef>
                      </c:ext>
                    </c:extLst>
                    <c:numCache>
                      <c:formatCode>0;\-0;;@</c:formatCode>
                      <c:ptCount val="12"/>
                      <c:pt idx="0">
                        <c:v>11</c:v>
                      </c:pt>
                      <c:pt idx="1">
                        <c:v>4</c:v>
                      </c:pt>
                      <c:pt idx="2">
                        <c:v>10</c:v>
                      </c:pt>
                      <c:pt idx="3">
                        <c:v>10</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E-CF62-4E03-937E-456B5793F641}"/>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Temperature!$B$33</c15:sqref>
                        </c15:formulaRef>
                      </c:ext>
                    </c:extLst>
                    <c:strCache>
                      <c:ptCount val="1"/>
                      <c:pt idx="0">
                        <c:v>No.2 Steering Gear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(Temperature!$E$33,Temperature!$H$33,Temperature!$K$33,Temperature!$N$33,Temperature!$Q$33,Temperature!$T$33,Temperature!$W$33,Temperature!$Z$33,Temperature!$AC$33,Temperature!$AF$33,Temperature!$AI$33,Temperature!$AL$33)</c15:sqref>
                        </c15:formulaRef>
                      </c:ext>
                    </c:extLst>
                    <c:numCache>
                      <c:formatCode>0;\-0;;@</c:formatCode>
                      <c:ptCount val="12"/>
                      <c:pt idx="0">
                        <c:v>12</c:v>
                      </c:pt>
                      <c:pt idx="1">
                        <c:v>4</c:v>
                      </c:pt>
                      <c:pt idx="2">
                        <c:v>10</c:v>
                      </c:pt>
                      <c:pt idx="3">
                        <c:v>11</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F-CF62-4E03-937E-456B5793F641}"/>
                  </c:ext>
                </c:extLst>
              </c15:ser>
            </c15:filteredLineSeries>
          </c:ext>
        </c:extLst>
      </c:lineChart>
      <c:catAx>
        <c:axId val="42364928"/>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18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2366464"/>
        <c:crosses val="autoZero"/>
        <c:auto val="1"/>
        <c:lblAlgn val="ctr"/>
        <c:lblOffset val="100"/>
        <c:noMultiLvlLbl val="0"/>
      </c:catAx>
      <c:valAx>
        <c:axId val="423664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2364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SG" sz="2000" b="1" baseline="0"/>
              <a:t>Steering Gear-Diff from E/R Temp</a:t>
            </a:r>
            <a:endParaRPr lang="en-SG" sz="2000" b="1"/>
          </a:p>
        </c:rich>
      </c:tx>
      <c:overlay val="0"/>
      <c:spPr>
        <a:noFill/>
        <a:ln>
          <a:noFill/>
        </a:ln>
        <a:effectLst/>
      </c:spPr>
    </c:title>
    <c:autoTitleDeleted val="0"/>
    <c:plotArea>
      <c:layout>
        <c:manualLayout>
          <c:layoutTarget val="inner"/>
          <c:xMode val="edge"/>
          <c:yMode val="edge"/>
          <c:x val="2.6217571037680958E-2"/>
          <c:y val="9.1239657494952914E-2"/>
          <c:w val="0.9667262001249286"/>
          <c:h val="0.67534297747665262"/>
        </c:manualLayout>
      </c:layout>
      <c:lineChart>
        <c:grouping val="standard"/>
        <c:varyColors val="0"/>
        <c:ser>
          <c:idx val="30"/>
          <c:order val="30"/>
          <c:tx>
            <c:strRef>
              <c:f>Temperature!$B$32</c:f>
              <c:strCache>
                <c:ptCount val="1"/>
                <c:pt idx="0">
                  <c:v>No.1 Steering Gear</c:v>
                </c:pt>
              </c:strCache>
              <c:extLst xmlns:c15="http://schemas.microsoft.com/office/drawing/2012/chart"/>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(Temperature!$E$32,Temperature!$H$32,Temperature!$K$32,Temperature!$N$32,Temperature!$Q$32,Temperature!$T$32,Temperature!$W$32,Temperature!$Z$32,Temperature!$AC$32,Temperature!$AF$32,Temperature!$AI$32,Temperature!$AL$32)</c:f>
              <c:numCache>
                <c:formatCode>0;\-0;;@</c:formatCode>
                <c:ptCount val="12"/>
                <c:pt idx="0">
                  <c:v>11</c:v>
                </c:pt>
                <c:pt idx="1">
                  <c:v>4</c:v>
                </c:pt>
                <c:pt idx="2">
                  <c:v>10</c:v>
                </c:pt>
                <c:pt idx="3">
                  <c:v>10</c:v>
                </c:pt>
                <c:pt idx="4">
                  <c:v>10</c:v>
                </c:pt>
                <c:pt idx="5">
                  <c:v>12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E-21ED-4C06-A0D6-AFA3B0D97AA4}"/>
            </c:ext>
          </c:extLst>
        </c:ser>
        <c:ser>
          <c:idx val="31"/>
          <c:order val="31"/>
          <c:tx>
            <c:strRef>
              <c:f>Temperature!$B$33</c:f>
              <c:strCache>
                <c:ptCount val="1"/>
                <c:pt idx="0">
                  <c:v>No.2 Steering Gear</c:v>
                </c:pt>
              </c:strCache>
              <c:extLst xmlns:c15="http://schemas.microsoft.com/office/drawing/2012/chart"/>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(Temperature!$E$33,Temperature!$H$33,Temperature!$K$33,Temperature!$N$33,Temperature!$Q$33,Temperature!$T$33,Temperature!$W$33,Temperature!$Z$33,Temperature!$AC$33,Temperature!$AF$33,Temperature!$AI$33,Temperature!$AL$33)</c:f>
              <c:numCache>
                <c:formatCode>0;\-0;;@</c:formatCode>
                <c:ptCount val="12"/>
                <c:pt idx="0">
                  <c:v>12</c:v>
                </c:pt>
                <c:pt idx="1">
                  <c:v>4</c:v>
                </c:pt>
                <c:pt idx="2">
                  <c:v>10</c:v>
                </c:pt>
                <c:pt idx="3">
                  <c:v>11</c:v>
                </c:pt>
                <c:pt idx="4">
                  <c:v>12</c:v>
                </c:pt>
                <c:pt idx="5">
                  <c:v>10</c:v>
                </c:pt>
                <c:pt idx="6">
                  <c:v>0</c:v>
                </c:pt>
                <c:pt idx="7">
                  <c:v>0</c:v>
                </c:pt>
                <c:pt idx="8">
                  <c:v>0</c:v>
                </c:pt>
                <c:pt idx="9">
                  <c:v>0</c:v>
                </c:pt>
                <c:pt idx="10">
                  <c:v>0</c:v>
                </c:pt>
                <c:pt idx="11">
                  <c:v>0</c:v>
                </c:pt>
              </c:numCache>
              <c:extLst/>
            </c:numRef>
          </c:val>
          <c:smooth val="0"/>
          <c:extLst>
            <c:ext xmlns:c16="http://schemas.microsoft.com/office/drawing/2014/chart" uri="{C3380CC4-5D6E-409C-BE32-E72D297353CC}">
              <c16:uniqueId val="{0000001F-21ED-4C06-A0D6-AFA3B0D97AA4}"/>
            </c:ext>
          </c:extLst>
        </c:ser>
        <c:dLbls>
          <c:showLegendKey val="0"/>
          <c:showVal val="0"/>
          <c:showCatName val="0"/>
          <c:showSerName val="0"/>
          <c:showPercent val="0"/>
          <c:showBubbleSize val="0"/>
        </c:dLbls>
        <c:marker val="1"/>
        <c:smooth val="0"/>
        <c:axId val="42438656"/>
        <c:axId val="42440192"/>
        <c:extLst>
          <c:ext xmlns:c15="http://schemas.microsoft.com/office/drawing/2012/chart" uri="{02D57815-91ED-43cb-92C2-25804820EDAC}">
            <c15:filteredLineSeries>
              <c15:ser>
                <c:idx val="0"/>
                <c:order val="0"/>
                <c:tx>
                  <c:strRef>
                    <c:extLst>
                      <c:ext uri="{02D57815-91ED-43cb-92C2-25804820EDAC}">
                        <c15:formulaRef>
                          <c15:sqref>Temperature!$B$6</c15:sqref>
                        </c15:formulaRef>
                      </c:ext>
                    </c:extLst>
                    <c:strCache>
                      <c:ptCount val="1"/>
                      <c:pt idx="0">
                        <c:v>E/R Temperature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extLst>
                      <c:ex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c:ext uri="{02D57815-91ED-43cb-92C2-25804820EDAC}">
                        <c15:formulaRef>
                          <c15:sqref>(Temperature!$E$6,Temperature!$H$6,Temperature!$K$6,Temperature!$N$6,Temperature!$Q$6,Temperature!$T$6,Temperature!$W$6,Temperature!$Z$6,Temperature!$AC$6,Temperature!$AF$6,Temperature!$AI$6,Temperature!$AL$6)</c15:sqref>
                        </c15:formulaRef>
                      </c:ext>
                    </c:extLst>
                    <c:numCache>
                      <c:formatCode>0;\-0;;@</c:formatCode>
                      <c:ptCount val="12"/>
                    </c:numCache>
                  </c:numRef>
                </c:val>
                <c:smooth val="0"/>
                <c:extLst>
                  <c:ext xmlns:c16="http://schemas.microsoft.com/office/drawing/2014/chart" uri="{C3380CC4-5D6E-409C-BE32-E72D297353CC}">
                    <c16:uniqueId val="{00000002-21ED-4C06-A0D6-AFA3B0D97AA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Temperature!$B$7</c15:sqref>
                        </c15:formulaRef>
                      </c:ext>
                    </c:extLst>
                    <c:strCache>
                      <c:ptCount val="1"/>
                      <c:pt idx="0">
                        <c:v>No.1 Main Air Compressor</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(Temperature!$E$7,Temperature!$H$7,Temperature!$K$7,Temperature!$N$7,Temperature!$Q$7,Temperature!$T$7,Temperature!$W$7,Temperature!$Z$7,Temperature!$AC$7,Temperature!$AF$7,Temperature!$AI$7,Temperature!$AL$7)</c15:sqref>
                        </c15:formulaRef>
                      </c:ext>
                    </c:extLst>
                    <c:numCache>
                      <c:formatCode>0;\-0;;@</c:formatCode>
                      <c:ptCount val="12"/>
                      <c:pt idx="0">
                        <c:v>13</c:v>
                      </c:pt>
                      <c:pt idx="1">
                        <c:v>6</c:v>
                      </c:pt>
                      <c:pt idx="2">
                        <c:v>9</c:v>
                      </c:pt>
                      <c:pt idx="3">
                        <c:v>11</c:v>
                      </c:pt>
                      <c:pt idx="4">
                        <c:v>14</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3-21ED-4C06-A0D6-AFA3B0D97AA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Temperature!$B$8</c15:sqref>
                        </c15:formulaRef>
                      </c:ext>
                    </c:extLst>
                    <c:strCache>
                      <c:ptCount val="1"/>
                      <c:pt idx="0">
                        <c:v>No.2 Main Air Compressor</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(Temperature!$E$8,Temperature!$H$8,Temperature!$K$8,Temperature!$N$8,Temperature!$Q$8,Temperature!$T$8,Temperature!$W$8,Temperature!$Z$8,Temperature!$AC$8,Temperature!$AF$8,Temperature!$AI$8,Temperature!$AL$8)</c15:sqref>
                        </c15:formulaRef>
                      </c:ext>
                    </c:extLst>
                    <c:numCache>
                      <c:formatCode>0;\-0;;@</c:formatCode>
                      <c:ptCount val="12"/>
                      <c:pt idx="0">
                        <c:v>11</c:v>
                      </c:pt>
                      <c:pt idx="1">
                        <c:v>6</c:v>
                      </c:pt>
                      <c:pt idx="2">
                        <c:v>10</c:v>
                      </c:pt>
                      <c:pt idx="3">
                        <c:v>12</c:v>
                      </c:pt>
                      <c:pt idx="4">
                        <c:v>12</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4-21ED-4C06-A0D6-AFA3B0D97AA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Temperature!$B$9</c15:sqref>
                        </c15:formulaRef>
                      </c:ext>
                    </c:extLst>
                    <c:strCache>
                      <c:ptCount val="1"/>
                      <c:pt idx="0">
                        <c:v>No.1 Main Cooling S.W. Pump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(Temperature!$E$9,Temperature!$H$9,Temperature!$K$9,Temperature!$N$9,Temperature!$Q$9,Temperature!$T$9,Temperature!$W$9,Temperature!$Z$9,Temperature!$AC$9,Temperature!$AF$9,Temperature!$AI$9,Temperature!$AL$9)</c15:sqref>
                        </c15:formulaRef>
                      </c:ext>
                    </c:extLst>
                    <c:numCache>
                      <c:formatCode>0;\-0;;@</c:formatCode>
                      <c:ptCount val="12"/>
                      <c:pt idx="0">
                        <c:v>10</c:v>
                      </c:pt>
                      <c:pt idx="1">
                        <c:v>-38</c:v>
                      </c:pt>
                      <c:pt idx="2">
                        <c:v>11</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5-21ED-4C06-A0D6-AFA3B0D97AA4}"/>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Temperature!$B$10</c15:sqref>
                        </c15:formulaRef>
                      </c:ext>
                    </c:extLst>
                    <c:strCache>
                      <c:ptCount val="1"/>
                      <c:pt idx="0">
                        <c:v>No.2 Main Cooling S.W. Pump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(Temperature!$E$10,Temperature!$H$10,Temperature!$K$10,Temperature!$N$10,Temperature!$Q$10,Temperature!$T$10,Temperature!$W$10,Temperature!$Z$10,Temperature!$AC$10,Temperature!$AF$10,Temperature!$AI$10,Temperature!$AL$10)</c15:sqref>
                        </c15:formulaRef>
                      </c:ext>
                    </c:extLst>
                    <c:numCache>
                      <c:formatCode>0;\-0;;@</c:formatCode>
                      <c:ptCount val="12"/>
                      <c:pt idx="0">
                        <c:v>-25</c:v>
                      </c:pt>
                      <c:pt idx="1">
                        <c:v>4</c:v>
                      </c:pt>
                      <c:pt idx="2">
                        <c:v>-28</c:v>
                      </c:pt>
                      <c:pt idx="3">
                        <c:v>-32</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21ED-4C06-A0D6-AFA3B0D97AA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Temperature!$B$11</c15:sqref>
                        </c15:formulaRef>
                      </c:ext>
                    </c:extLst>
                    <c:strCache>
                      <c:ptCount val="1"/>
                      <c:pt idx="0">
                        <c:v>No.3 Main Cooling S.W. Pump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(Temperature!$E$11,Temperature!$H$11,Temperature!$K$11,Temperature!$N$11,Temperature!$Q$11,Temperature!$T$11,Temperature!$W$11,Temperature!$Z$11,Temperature!$AC$11,Temperature!$AF$11,Temperature!$AI$11,Temperature!$AL$11)</c15:sqref>
                        </c15:formulaRef>
                      </c:ext>
                    </c:extLst>
                    <c:numCache>
                      <c:formatCode>0;\-0;;@</c:formatCode>
                      <c:ptCount val="12"/>
                      <c:pt idx="0">
                        <c:v>-25</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7-21ED-4C06-A0D6-AFA3B0D97AA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Temperature!$B$12</c15:sqref>
                        </c15:formulaRef>
                      </c:ext>
                    </c:extLst>
                    <c:strCache>
                      <c:ptCount val="1"/>
                      <c:pt idx="0">
                        <c:v>FWG Ejector pump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(Temperature!$E$12,Temperature!$H$12,Temperature!$K$12,Temperature!$N$12,Temperature!$Q$12,Temperature!$T$12,Temperature!$W$12,Temperature!$Z$12,Temperature!$AC$12,Temperature!$AF$12,Temperature!$AI$12,Temperature!$AL$12)</c15:sqref>
                        </c15:formulaRef>
                      </c:ext>
                    </c:extLst>
                    <c:numCache>
                      <c:formatCode>0;\-0;;@</c:formatCode>
                      <c:ptCount val="12"/>
                      <c:pt idx="0">
                        <c:v>11</c:v>
                      </c:pt>
                      <c:pt idx="1">
                        <c:v>2</c:v>
                      </c:pt>
                      <c:pt idx="2">
                        <c:v>9</c:v>
                      </c:pt>
                      <c:pt idx="3">
                        <c:v>11</c:v>
                      </c:pt>
                      <c:pt idx="4">
                        <c:v>16</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8-21ED-4C06-A0D6-AFA3B0D97AA4}"/>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Temperature!$B$13</c15:sqref>
                        </c15:formulaRef>
                      </c:ext>
                    </c:extLst>
                    <c:strCache>
                      <c:ptCount val="1"/>
                      <c:pt idx="0">
                        <c:v>No.1 IGG Blower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(Temperature!$E$13,Temperature!$H$13,Temperature!$K$13,Temperature!$N$13,Temperature!$Q$13,Temperature!$T$13,Temperature!$W$13,Temperature!$Z$13,Temperature!$AC$13,Temperature!$AF$13,Temperature!$AI$13,Temperature!$AL$13)</c15:sqref>
                        </c15:formulaRef>
                      </c:ext>
                    </c:extLst>
                    <c:numCache>
                      <c:formatCode>0;\-0;;@</c:formatCode>
                      <c:ptCount val="12"/>
                      <c:pt idx="0">
                        <c:v>-25</c:v>
                      </c:pt>
                      <c:pt idx="1">
                        <c:v>4</c:v>
                      </c:pt>
                      <c:pt idx="2">
                        <c:v>-28</c:v>
                      </c:pt>
                      <c:pt idx="3">
                        <c:v>9</c:v>
                      </c:pt>
                      <c:pt idx="4">
                        <c:v>-28</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9-21ED-4C06-A0D6-AFA3B0D97AA4}"/>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Temperature!$B$14</c15:sqref>
                        </c15:formulaRef>
                      </c:ext>
                    </c:extLst>
                    <c:strCache>
                      <c:ptCount val="1"/>
                      <c:pt idx="0">
                        <c:v>No.2 IGG Blower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(Temperature!$E$14,Temperature!$H$14,Temperature!$K$14,Temperature!$N$14,Temperature!$Q$14,Temperature!$T$14,Temperature!$W$14,Temperature!$Z$14,Temperature!$AC$14,Temperature!$AF$14,Temperature!$AI$14,Temperature!$AL$14)</c15:sqref>
                        </c15:formulaRef>
                      </c:ext>
                    </c:extLst>
                    <c:numCache>
                      <c:formatCode>0;\-0;;@</c:formatCode>
                      <c:ptCount val="12"/>
                      <c:pt idx="0">
                        <c:v>8</c:v>
                      </c:pt>
                      <c:pt idx="1">
                        <c:v>-38</c:v>
                      </c:pt>
                      <c:pt idx="2">
                        <c:v>9</c:v>
                      </c:pt>
                      <c:pt idx="3">
                        <c:v>13</c:v>
                      </c:pt>
                      <c:pt idx="4">
                        <c:v>14</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A-21ED-4C06-A0D6-AFA3B0D97AA4}"/>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B-21ED-4C06-A0D6-AFA3B0D97AA4}"/>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C-21ED-4C06-A0D6-AFA3B0D97AA4}"/>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D-21ED-4C06-A0D6-AFA3B0D97AA4}"/>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E-21ED-4C06-A0D6-AFA3B0D97AA4}"/>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Temperature!$B$15</c15:sqref>
                        </c15:formulaRef>
                      </c:ext>
                    </c:extLst>
                    <c:strCache>
                      <c:ptCount val="1"/>
                      <c:pt idx="0">
                        <c:v>Incinerator Flue Gas Fan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(Temperature!$E$15,Temperature!$H$15,Temperature!$K$15,Temperature!$N$15,Temperature!$Q$15,Temperature!$T$15,Temperature!$W$15,Temperature!$Z$15,Temperature!$AC$15,Temperature!$AF$15,Temperature!$AI$15,Temperature!$AL$15)</c15:sqref>
                        </c15:formulaRef>
                      </c:ext>
                    </c:extLst>
                    <c:numCache>
                      <c:formatCode>0;\-0;;@</c:formatCode>
                      <c:ptCount val="12"/>
                      <c:pt idx="0">
                        <c:v>9</c:v>
                      </c:pt>
                      <c:pt idx="1">
                        <c:v>4</c:v>
                      </c:pt>
                      <c:pt idx="2">
                        <c:v>8</c:v>
                      </c:pt>
                      <c:pt idx="3">
                        <c:v>9</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F-21ED-4C06-A0D6-AFA3B0D97AA4}"/>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Temperature!$B$16</c15:sqref>
                        </c15:formulaRef>
                      </c:ext>
                    </c:extLst>
                    <c:strCache>
                      <c:ptCount val="1"/>
                      <c:pt idx="0">
                        <c:v>Incinerator Blower Motor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(Temperature!$E$16,Temperature!$H$16,Temperature!$K$16,Temperature!$N$16,Temperature!$Q$16,Temperature!$T$16,Temperature!$W$16,Temperature!$Z$16,Temperature!$AC$16,Temperature!$AF$16,Temperature!$AI$16,Temperature!$AL$16)</c15:sqref>
                        </c15:formulaRef>
                      </c:ext>
                    </c:extLst>
                    <c:numCache>
                      <c:formatCode>0;\-0;;@</c:formatCode>
                      <c:ptCount val="12"/>
                      <c:pt idx="0">
                        <c:v>10</c:v>
                      </c:pt>
                      <c:pt idx="1">
                        <c:v>0</c:v>
                      </c:pt>
                      <c:pt idx="2">
                        <c:v>7</c:v>
                      </c:pt>
                      <c:pt idx="3">
                        <c:v>10</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0-21ED-4C06-A0D6-AFA3B0D97AA4}"/>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Temperature!$B$17</c15:sqref>
                        </c15:formulaRef>
                      </c:ext>
                    </c:extLst>
                    <c:strCache>
                      <c:ptCount val="1"/>
                      <c:pt idx="0">
                        <c:v>No.1 Deck Seal Pump</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(Temperature!$E$17,Temperature!$H$17,Temperature!$K$17,Temperature!$N$17,Temperature!$Q$17,Temperature!$T$17,Temperature!$W$17,Temperature!$Z$17,Temperature!$AC$17,Temperature!$AF$17,Temperature!$AI$17,Temperature!$AL$17)</c15:sqref>
                        </c15:formulaRef>
                      </c:ext>
                    </c:extLst>
                    <c:numCache>
                      <c:formatCode>0;\-0;;@</c:formatCode>
                      <c:ptCount val="12"/>
                      <c:pt idx="0">
                        <c:v>7</c:v>
                      </c:pt>
                      <c:pt idx="1">
                        <c:v>-38</c:v>
                      </c:pt>
                      <c:pt idx="2">
                        <c:v>8</c:v>
                      </c:pt>
                      <c:pt idx="3">
                        <c:v>8</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1-21ED-4C06-A0D6-AFA3B0D97AA4}"/>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Temperature!$B$18</c15:sqref>
                        </c15:formulaRef>
                      </c:ext>
                    </c:extLst>
                    <c:strCache>
                      <c:ptCount val="1"/>
                      <c:pt idx="0">
                        <c:v>No.2 Deck Seal Pump</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(Temperature!$E$18,Temperature!$H$18,Temperature!$K$18,Temperature!$N$18,Temperature!$Q$18,Temperature!$T$18,Temperature!$W$18,Temperature!$Z$18,Temperature!$AC$18,Temperature!$AF$18,Temperature!$AI$18,Temperature!$AL$18)</c15:sqref>
                        </c15:formulaRef>
                      </c:ext>
                    </c:extLst>
                    <c:numCache>
                      <c:formatCode>0;\-0;;@</c:formatCode>
                      <c:ptCount val="12"/>
                      <c:pt idx="0">
                        <c:v>-25</c:v>
                      </c:pt>
                      <c:pt idx="1">
                        <c:v>-1</c:v>
                      </c:pt>
                      <c:pt idx="2">
                        <c:v>-28</c:v>
                      </c:pt>
                      <c:pt idx="3">
                        <c:v>-32</c:v>
                      </c:pt>
                      <c:pt idx="4">
                        <c:v>10</c:v>
                      </c:pt>
                      <c:pt idx="5">
                        <c:v>5</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2-21ED-4C06-A0D6-AFA3B0D97AA4}"/>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Temperature!$B$19</c15:sqref>
                        </c15:formulaRef>
                      </c:ext>
                    </c:extLst>
                    <c:strCache>
                      <c:ptCount val="1"/>
                      <c:pt idx="0">
                        <c:v>IGG Scrubber Pump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(Temperature!$E$19,Temperature!$H$19,Temperature!$K$19,Temperature!$N$19,Temperature!$Q$19,Temperature!$T$19,Temperature!$W$19,Temperature!$Z$19,Temperature!$AC$19,Temperature!$AF$19,Temperature!$AI$19,Temperature!$AL$19)</c15:sqref>
                        </c15:formulaRef>
                      </c:ext>
                    </c:extLst>
                    <c:numCache>
                      <c:formatCode>0;\-0;;@</c:formatCode>
                      <c:ptCount val="12"/>
                      <c:pt idx="0">
                        <c:v>13</c:v>
                      </c:pt>
                      <c:pt idx="1">
                        <c:v>2</c:v>
                      </c:pt>
                      <c:pt idx="2">
                        <c:v>10</c:v>
                      </c:pt>
                      <c:pt idx="3">
                        <c:v>12</c:v>
                      </c:pt>
                      <c:pt idx="4">
                        <c:v>12</c:v>
                      </c:pt>
                      <c:pt idx="5">
                        <c:v>8</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3-21ED-4C06-A0D6-AFA3B0D97AA4}"/>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Temperature!$B$20</c15:sqref>
                        </c15:formulaRef>
                      </c:ext>
                    </c:extLst>
                    <c:strCache>
                      <c:ptCount val="1"/>
                      <c:pt idx="0">
                        <c:v>No.1 G/E L.O. Priming Pump</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(Temperature!$E$20,Temperature!$H$20,Temperature!$K$20,Temperature!$N$20,Temperature!$Q$20,Temperature!$T$20,Temperature!$W$20,Temperature!$Z$20,Temperature!$AC$20,Temperature!$AF$20,Temperature!$AI$20,Temperature!$AL$20)</c15:sqref>
                        </c15:formulaRef>
                      </c:ext>
                    </c:extLst>
                    <c:numCache>
                      <c:formatCode>0;\-0;;@</c:formatCode>
                      <c:ptCount val="12"/>
                      <c:pt idx="0">
                        <c:v>12</c:v>
                      </c:pt>
                      <c:pt idx="1">
                        <c:v>0</c:v>
                      </c:pt>
                      <c:pt idx="2">
                        <c:v>8</c:v>
                      </c:pt>
                      <c:pt idx="3">
                        <c:v>10</c:v>
                      </c:pt>
                      <c:pt idx="4">
                        <c:v>10</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4-21ED-4C06-A0D6-AFA3B0D97AA4}"/>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Temperature!$B$21</c15:sqref>
                        </c15:formulaRef>
                      </c:ext>
                    </c:extLst>
                    <c:strCache>
                      <c:ptCount val="1"/>
                      <c:pt idx="0">
                        <c:v>No.2 G/E L.O. Priming Pump</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(Temperature!$E$21,Temperature!$H$21,Temperature!$K$21,Temperature!$N$21,Temperature!$Q$21,Temperature!$T$21,Temperature!$W$21,Temperature!$Z$21,Temperature!$AC$21,Temperature!$AF$21,Temperature!$AI$21,Temperature!$AL$21)</c15:sqref>
                        </c15:formulaRef>
                      </c:ext>
                    </c:extLst>
                    <c:numCache>
                      <c:formatCode>0;\-0;;@</c:formatCode>
                      <c:ptCount val="12"/>
                      <c:pt idx="0">
                        <c:v>11</c:v>
                      </c:pt>
                      <c:pt idx="1">
                        <c:v>0</c:v>
                      </c:pt>
                      <c:pt idx="2">
                        <c:v>9</c:v>
                      </c:pt>
                      <c:pt idx="3">
                        <c:v>9</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5-21ED-4C06-A0D6-AFA3B0D97AA4}"/>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Temperature!$B$22</c15:sqref>
                        </c15:formulaRef>
                      </c:ext>
                    </c:extLst>
                    <c:strCache>
                      <c:ptCount val="1"/>
                      <c:pt idx="0">
                        <c:v>No.3 G/E L.O. Priming Pump</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(Temperature!$E$22,Temperature!$H$22,Temperature!$K$22,Temperature!$N$22,Temperature!$Q$22,Temperature!$T$22,Temperature!$W$22,Temperature!$Z$22,Temperature!$AC$22,Temperature!$AF$22,Temperature!$AI$22,Temperature!$AL$22)</c15:sqref>
                        </c15:formulaRef>
                      </c:ext>
                    </c:extLst>
                    <c:numCache>
                      <c:formatCode>0;\-0;;@</c:formatCode>
                      <c:ptCount val="12"/>
                      <c:pt idx="0">
                        <c:v>10</c:v>
                      </c:pt>
                      <c:pt idx="1">
                        <c:v>-2</c:v>
                      </c:pt>
                      <c:pt idx="2">
                        <c:v>8</c:v>
                      </c:pt>
                      <c:pt idx="3">
                        <c:v>-32</c:v>
                      </c:pt>
                      <c:pt idx="4">
                        <c:v>8</c:v>
                      </c:pt>
                      <c:pt idx="5">
                        <c:v>4</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6-21ED-4C06-A0D6-AFA3B0D97AA4}"/>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Temperature!$B$23</c15:sqref>
                        </c15:formulaRef>
                      </c:ext>
                    </c:extLst>
                    <c:strCache>
                      <c:ptCount val="1"/>
                      <c:pt idx="0">
                        <c:v>No.1 M/E FO Circulating Pump</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(Temperature!$E$23,Temperature!$H$23,Temperature!$K$23,Temperature!$N$23,Temperature!$Q$23,Temperature!$T$23,Temperature!$W$23,Temperature!$Z$23,Temperature!$AC$23,Temperature!$AF$23,Temperature!$AI$23,Temperature!$AL$23)</c15:sqref>
                        </c15:formulaRef>
                      </c:ext>
                    </c:extLst>
                    <c:numCache>
                      <c:formatCode>0;\-0;;@</c:formatCode>
                      <c:ptCount val="12"/>
                      <c:pt idx="0">
                        <c:v>-25</c:v>
                      </c:pt>
                      <c:pt idx="1">
                        <c:v>6</c:v>
                      </c:pt>
                      <c:pt idx="2">
                        <c:v>11</c:v>
                      </c:pt>
                      <c:pt idx="3">
                        <c:v>16</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0-21ED-4C06-A0D6-AFA3B0D97AA4}"/>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Temperature!$B$24</c15:sqref>
                        </c15:formulaRef>
                      </c:ext>
                    </c:extLst>
                    <c:strCache>
                      <c:ptCount val="1"/>
                      <c:pt idx="0">
                        <c:v>No.2 M/E FO Circulating Pump</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(Temperature!$E$24,Temperature!$H$24,Temperature!$K$24,Temperature!$N$24,Temperature!$Q$24,Temperature!$T$24,Temperature!$W$24,Temperature!$Z$24,Temperature!$AC$24,Temperature!$AF$24,Temperature!$AI$24,Temperature!$AL$24)</c15:sqref>
                        </c15:formulaRef>
                      </c:ext>
                    </c:extLst>
                    <c:numCache>
                      <c:formatCode>0;\-0;;@</c:formatCode>
                      <c:ptCount val="12"/>
                      <c:pt idx="0">
                        <c:v>13</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1-21ED-4C06-A0D6-AFA3B0D97AA4}"/>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Temperature!$B$25</c15:sqref>
                        </c15:formulaRef>
                      </c:ext>
                    </c:extLst>
                    <c:strCache>
                      <c:ptCount val="1"/>
                      <c:pt idx="0">
                        <c:v>Economiser Feed water Pump</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(Temperature!$E$25,Temperature!$H$25,Temperature!$K$25,Temperature!$N$25,Temperature!$Q$25,Temperature!$T$25,Temperature!$W$25,Temperature!$Z$25,Temperature!$AC$25,Temperature!$AF$25,Temperature!$AI$25,Temperature!$AL$25)</c15:sqref>
                        </c15:formulaRef>
                      </c:ext>
                    </c:extLst>
                    <c:numCache>
                      <c:formatCode>0;\-0;;@</c:formatCode>
                      <c:ptCount val="12"/>
                      <c:pt idx="0">
                        <c:v>-25</c:v>
                      </c:pt>
                      <c:pt idx="1">
                        <c:v>-38</c:v>
                      </c:pt>
                      <c:pt idx="2">
                        <c:v>-28</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7-21ED-4C06-A0D6-AFA3B0D97AA4}"/>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Temperature!$B$26</c15:sqref>
                        </c15:formulaRef>
                      </c:ext>
                    </c:extLst>
                    <c:strCache>
                      <c:ptCount val="1"/>
                      <c:pt idx="0">
                        <c:v>STP Blower </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(Temperature!$E$26,Temperature!$H$26,Temperature!$K$26,Temperature!$N$26,Temperature!$Q$26,Temperature!$T$26,Temperature!$W$26,Temperature!$Z$26,Temperature!$AC$26,Temperature!$AF$26,Temperature!$AI$26,Temperature!$AL$26)</c15:sqref>
                        </c15:formulaRef>
                      </c:ext>
                    </c:extLst>
                    <c:numCache>
                      <c:formatCode>0;\-0;;@</c:formatCode>
                      <c:ptCount val="12"/>
                      <c:pt idx="0">
                        <c:v>11</c:v>
                      </c:pt>
                      <c:pt idx="1">
                        <c:v>6</c:v>
                      </c:pt>
                      <c:pt idx="2">
                        <c:v>7</c:v>
                      </c:pt>
                      <c:pt idx="3">
                        <c:v>7</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8-21ED-4C06-A0D6-AFA3B0D97AA4}"/>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Temperature!$B$27</c15:sqref>
                        </c15:formulaRef>
                      </c:ext>
                    </c:extLst>
                    <c:strCache>
                      <c:ptCount val="1"/>
                      <c:pt idx="0">
                        <c:v>STP Discharge Pump</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(Temperature!$E$27,Temperature!$H$27,Temperature!$K$27,Temperature!$N$27,Temperature!$Q$27,Temperature!$T$27,Temperature!$W$27,Temperature!$Z$27,Temperature!$AC$27,Temperature!$AF$27,Temperature!$AI$27,Temperature!$AL$27)</c15:sqref>
                        </c15:formulaRef>
                      </c:ext>
                    </c:extLst>
                    <c:numCache>
                      <c:formatCode>0;\-0;;@</c:formatCode>
                      <c:ptCount val="12"/>
                      <c:pt idx="0">
                        <c:v>9</c:v>
                      </c:pt>
                      <c:pt idx="1">
                        <c:v>1</c:v>
                      </c:pt>
                      <c:pt idx="2">
                        <c:v>6</c:v>
                      </c:pt>
                      <c:pt idx="3">
                        <c:v>10</c:v>
                      </c:pt>
                      <c:pt idx="4">
                        <c:v>8</c:v>
                      </c:pt>
                      <c:pt idx="5">
                        <c:v>7</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9-21ED-4C06-A0D6-AFA3B0D97AA4}"/>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Temperature!$B$28</c15:sqref>
                        </c15:formulaRef>
                      </c:ext>
                    </c:extLst>
                    <c:strCache>
                      <c:ptCount val="1"/>
                      <c:pt idx="0">
                        <c:v>STP Ejector Pump #1</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(Temperature!$E$28,Temperature!$H$28,Temperature!$K$28,Temperature!$N$28,Temperature!$Q$28,Temperature!$T$28,Temperature!$W$28,Temperature!$Z$28,Temperature!$AC$28,Temperature!$AF$28,Temperature!$AI$28,Temperature!$AL$28)</c15:sqref>
                        </c15:formulaRef>
                      </c:ext>
                    </c:extLst>
                    <c:numCache>
                      <c:formatCode>0;\-0;;@</c:formatCode>
                      <c:ptCount val="12"/>
                      <c:pt idx="0">
                        <c:v>11</c:v>
                      </c:pt>
                      <c:pt idx="1">
                        <c:v>-38</c:v>
                      </c:pt>
                      <c:pt idx="2">
                        <c:v>5</c:v>
                      </c:pt>
                      <c:pt idx="3">
                        <c:v>9</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A-21ED-4C06-A0D6-AFA3B0D97AA4}"/>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Temperature!$B$29</c15:sqref>
                        </c15:formulaRef>
                      </c:ext>
                    </c:extLst>
                    <c:strCache>
                      <c:ptCount val="1"/>
                      <c:pt idx="0">
                        <c:v>STP Ejector Pump #2</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(Temperature!$E$29,Temperature!$H$29,Temperature!$K$29,Temperature!$N$29,Temperature!$Q$29,Temperature!$T$29,Temperature!$W$29,Temperature!$Z$29,Temperature!$AC$29,Temperature!$AF$29,Temperature!$AI$29,Temperature!$AL$29)</c15:sqref>
                        </c15:formulaRef>
                      </c:ext>
                    </c:extLst>
                    <c:numCache>
                      <c:formatCode>0;\-0;;@</c:formatCode>
                      <c:ptCount val="12"/>
                      <c:pt idx="0">
                        <c:v>-25</c:v>
                      </c:pt>
                      <c:pt idx="1">
                        <c:v>4</c:v>
                      </c:pt>
                      <c:pt idx="2">
                        <c:v>5</c:v>
                      </c:pt>
                      <c:pt idx="3">
                        <c:v>10</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B-21ED-4C06-A0D6-AFA3B0D97AA4}"/>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Temperature!$B$30</c15:sqref>
                        </c15:formulaRef>
                      </c:ext>
                    </c:extLst>
                    <c:strCache>
                      <c:ptCount val="1"/>
                      <c:pt idx="0">
                        <c:v>No.1 Main LO Pump </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(Temperature!$E$30,Temperature!$H$30,Temperature!$K$30,Temperature!$N$30,Temperature!$Q$30,Temperature!$T$30,Temperature!$W$30,Temperature!$Z$30,Temperature!$AC$30,Temperature!$AF$30,Temperature!$AI$30,Temperature!$AL$30)</c15:sqref>
                        </c15:formulaRef>
                      </c:ext>
                    </c:extLst>
                    <c:numCache>
                      <c:formatCode>0;\-0;;@</c:formatCode>
                      <c:ptCount val="12"/>
                      <c:pt idx="0">
                        <c:v>-25</c:v>
                      </c:pt>
                      <c:pt idx="1">
                        <c:v>6</c:v>
                      </c:pt>
                      <c:pt idx="2">
                        <c:v>-28</c:v>
                      </c:pt>
                      <c:pt idx="3">
                        <c:v>11</c:v>
                      </c:pt>
                      <c:pt idx="4">
                        <c:v>-28</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C-21ED-4C06-A0D6-AFA3B0D97AA4}"/>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Temperature!$B$31</c15:sqref>
                        </c15:formulaRef>
                      </c:ext>
                    </c:extLst>
                    <c:strCache>
                      <c:ptCount val="1"/>
                      <c:pt idx="0">
                        <c:v>No.2 Main LO Pump </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(Temperature!$E$31,Temperature!$H$31,Temperature!$K$31,Temperature!$N$31,Temperature!$Q$31,Temperature!$T$31,Temperature!$W$31,Temperature!$Z$31,Temperature!$AC$31,Temperature!$AF$31,Temperature!$AI$31,Temperature!$AL$31)</c15:sqref>
                        </c15:formulaRef>
                      </c:ext>
                    </c:extLst>
                    <c:numCache>
                      <c:formatCode>0;\-0;;@</c:formatCode>
                      <c:ptCount val="12"/>
                      <c:pt idx="0">
                        <c:v>11</c:v>
                      </c:pt>
                      <c:pt idx="1">
                        <c:v>-38</c:v>
                      </c:pt>
                      <c:pt idx="2">
                        <c:v>9</c:v>
                      </c:pt>
                      <c:pt idx="3">
                        <c:v>-32</c:v>
                      </c:pt>
                      <c:pt idx="4">
                        <c:v>12</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D-21ED-4C06-A0D6-AFA3B0D97AA4}"/>
                  </c:ext>
                </c:extLst>
              </c15:ser>
            </c15:filteredLineSeries>
          </c:ext>
        </c:extLst>
      </c:lineChart>
      <c:catAx>
        <c:axId val="42438656"/>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18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2440192"/>
        <c:crosses val="autoZero"/>
        <c:auto val="1"/>
        <c:lblAlgn val="ctr"/>
        <c:lblOffset val="100"/>
        <c:noMultiLvlLbl val="0"/>
      </c:catAx>
      <c:valAx>
        <c:axId val="42440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2438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SG" sz="2000" b="1" baseline="0"/>
              <a:t>Other Motor-Diff from E/R Temp</a:t>
            </a:r>
            <a:endParaRPr lang="en-SG" sz="2000" b="1"/>
          </a:p>
        </c:rich>
      </c:tx>
      <c:layout>
        <c:manualLayout>
          <c:xMode val="edge"/>
          <c:yMode val="edge"/>
          <c:x val="0.32106479581047837"/>
          <c:y val="1.24031007751938E-2"/>
        </c:manualLayout>
      </c:layout>
      <c:overlay val="0"/>
      <c:spPr>
        <a:noFill/>
        <a:ln>
          <a:noFill/>
        </a:ln>
        <a:effectLst/>
      </c:spPr>
    </c:title>
    <c:autoTitleDeleted val="0"/>
    <c:plotArea>
      <c:layout>
        <c:manualLayout>
          <c:layoutTarget val="inner"/>
          <c:xMode val="edge"/>
          <c:yMode val="edge"/>
          <c:x val="2.6217571037680958E-2"/>
          <c:y val="9.1239657494952914E-2"/>
          <c:w val="0.9667262001249286"/>
          <c:h val="0.67534297747665262"/>
        </c:manualLayout>
      </c:layout>
      <c:lineChart>
        <c:grouping val="standard"/>
        <c:varyColors val="0"/>
        <c:ser>
          <c:idx val="6"/>
          <c:order val="6"/>
          <c:tx>
            <c:strRef>
              <c:f>Temperature!$B$12</c:f>
              <c:strCache>
                <c:ptCount val="1"/>
                <c:pt idx="0">
                  <c:v>FWG Ejector pump</c:v>
                </c:pt>
              </c:strCache>
              <c:extLst xmlns:c15="http://schemas.microsoft.com/office/drawing/2012/chart"/>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(Temperature!$E$12,Temperature!$H$12,Temperature!$K$12,Temperature!$N$12,Temperature!$Q$12,Temperature!$T$12,Temperature!$W$12,Temperature!$Z$12,Temperature!$AC$12,Temperature!$AF$12,Temperature!$AI$12,Temperature!$AL$12)</c:f>
              <c:numCache>
                <c:formatCode>0;\-0;;@</c:formatCode>
                <c:ptCount val="12"/>
                <c:pt idx="0">
                  <c:v>11</c:v>
                </c:pt>
                <c:pt idx="1">
                  <c:v>2</c:v>
                </c:pt>
                <c:pt idx="2">
                  <c:v>9</c:v>
                </c:pt>
                <c:pt idx="3">
                  <c:v>11</c:v>
                </c:pt>
                <c:pt idx="4">
                  <c:v>16</c:v>
                </c:pt>
                <c:pt idx="5">
                  <c:v>8</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0A-022B-488B-AD53-EEAD6F7A241B}"/>
            </c:ext>
          </c:extLst>
        </c:ser>
        <c:ser>
          <c:idx val="17"/>
          <c:order val="17"/>
          <c:tx>
            <c:strRef>
              <c:f>Temperature!$B$19</c:f>
              <c:strCache>
                <c:ptCount val="1"/>
                <c:pt idx="0">
                  <c:v>IGG Scrubber Pump</c:v>
                </c:pt>
              </c:strCache>
              <c:extLst xmlns:c15="http://schemas.microsoft.com/office/drawing/2012/chart"/>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(Temperature!$E$19,Temperature!$H$19,Temperature!$K$19,Temperature!$N$19,Temperature!$Q$19,Temperature!$T$19,Temperature!$W$19,Temperature!$Z$19,Temperature!$AC$19,Temperature!$AF$19,Temperature!$AI$19,Temperature!$AL$19)</c:f>
              <c:numCache>
                <c:formatCode>0;\-0;;@</c:formatCode>
                <c:ptCount val="12"/>
                <c:pt idx="0">
                  <c:v>13</c:v>
                </c:pt>
                <c:pt idx="1">
                  <c:v>2</c:v>
                </c:pt>
                <c:pt idx="2">
                  <c:v>10</c:v>
                </c:pt>
                <c:pt idx="3">
                  <c:v>12</c:v>
                </c:pt>
                <c:pt idx="4">
                  <c:v>12</c:v>
                </c:pt>
                <c:pt idx="5">
                  <c:v>8</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5-022B-488B-AD53-EEAD6F7A241B}"/>
            </c:ext>
          </c:extLst>
        </c:ser>
        <c:ser>
          <c:idx val="23"/>
          <c:order val="23"/>
          <c:tx>
            <c:strRef>
              <c:f>Temperature!$B$25</c:f>
              <c:strCache>
                <c:ptCount val="1"/>
                <c:pt idx="0">
                  <c:v>Economiser Feed water Pump</c:v>
                </c:pt>
              </c:strCache>
              <c:extLst xmlns:c15="http://schemas.microsoft.com/office/drawing/2012/chart"/>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(Temperature!$E$5,Temperature!$H$5,Temperature!$K$5,Temperature!$N$5,Temperature!$Q$5,Temperature!$T$5,Temperature!$W$5,Temperature!$Z$5,Temperature!$AC$5,Temperature!$AF$5,Temperature!$AI$5,Temperature!$AL$5)</c:f>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extLst/>
            </c:strRef>
          </c:cat>
          <c:val>
            <c:numRef>
              <c:f>(Temperature!$E$25,Temperature!$H$25,Temperature!$K$25,Temperature!$N$25,Temperature!$Q$25,Temperature!$T$25,Temperature!$W$25,Temperature!$Z$25,Temperature!$AC$25,Temperature!$AF$25,Temperature!$AI$25,Temperature!$AL$25)</c:f>
              <c:numCache>
                <c:formatCode>0;\-0;;@</c:formatCode>
                <c:ptCount val="12"/>
                <c:pt idx="0">
                  <c:v>-25</c:v>
                </c:pt>
                <c:pt idx="1">
                  <c:v>-38</c:v>
                </c:pt>
                <c:pt idx="2">
                  <c:v>-28</c:v>
                </c:pt>
                <c:pt idx="3">
                  <c:v>10</c:v>
                </c:pt>
                <c:pt idx="4">
                  <c:v>-28</c:v>
                </c:pt>
                <c:pt idx="5">
                  <c:v>-32</c:v>
                </c:pt>
                <c:pt idx="6">
                  <c:v>0</c:v>
                </c:pt>
                <c:pt idx="7">
                  <c:v>0</c:v>
                </c:pt>
                <c:pt idx="8">
                  <c:v>0</c:v>
                </c:pt>
                <c:pt idx="9">
                  <c:v>0</c:v>
                </c:pt>
                <c:pt idx="10">
                  <c:v>0</c:v>
                </c:pt>
                <c:pt idx="11">
                  <c:v>0</c:v>
                </c:pt>
              </c:numCache>
              <c:extLst/>
            </c:numRef>
          </c:val>
          <c:smooth val="0"/>
          <c:extLst xmlns:c15="http://schemas.microsoft.com/office/drawing/2012/chart">
            <c:ext xmlns:c16="http://schemas.microsoft.com/office/drawing/2014/chart" uri="{C3380CC4-5D6E-409C-BE32-E72D297353CC}">
              <c16:uniqueId val="{0000001B-022B-488B-AD53-EEAD6F7A241B}"/>
            </c:ext>
          </c:extLst>
        </c:ser>
        <c:dLbls>
          <c:showLegendKey val="0"/>
          <c:showVal val="0"/>
          <c:showCatName val="0"/>
          <c:showSerName val="0"/>
          <c:showPercent val="0"/>
          <c:showBubbleSize val="0"/>
        </c:dLbls>
        <c:marker val="1"/>
        <c:smooth val="0"/>
        <c:axId val="42333696"/>
        <c:axId val="42335232"/>
        <c:extLst>
          <c:ext xmlns:c15="http://schemas.microsoft.com/office/drawing/2012/chart" uri="{02D57815-91ED-43cb-92C2-25804820EDAC}">
            <c15:filteredLineSeries>
              <c15:ser>
                <c:idx val="0"/>
                <c:order val="0"/>
                <c:tx>
                  <c:strRef>
                    <c:extLst>
                      <c:ext uri="{02D57815-91ED-43cb-92C2-25804820EDAC}">
                        <c15:formulaRef>
                          <c15:sqref>Temperature!$B$6</c15:sqref>
                        </c15:formulaRef>
                      </c:ext>
                    </c:extLst>
                    <c:strCache>
                      <c:ptCount val="1"/>
                      <c:pt idx="0">
                        <c:v>E/R Temperature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extLst>
                      <c:ex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c:ext uri="{02D57815-91ED-43cb-92C2-25804820EDAC}">
                        <c15:formulaRef>
                          <c15:sqref>(Temperature!$E$6,Temperature!$H$6,Temperature!$K$6,Temperature!$N$6,Temperature!$Q$6,Temperature!$T$6,Temperature!$W$6,Temperature!$Z$6,Temperature!$AC$6,Temperature!$AF$6,Temperature!$AI$6,Temperature!$AL$6)</c15:sqref>
                        </c15:formulaRef>
                      </c:ext>
                    </c:extLst>
                    <c:numCache>
                      <c:formatCode>0;\-0;;@</c:formatCode>
                      <c:ptCount val="12"/>
                    </c:numCache>
                  </c:numRef>
                </c:val>
                <c:smooth val="0"/>
                <c:extLst>
                  <c:ext xmlns:c16="http://schemas.microsoft.com/office/drawing/2014/chart" uri="{C3380CC4-5D6E-409C-BE32-E72D297353CC}">
                    <c16:uniqueId val="{00000004-022B-488B-AD53-EEAD6F7A241B}"/>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Temperature!$B$7</c15:sqref>
                        </c15:formulaRef>
                      </c:ext>
                    </c:extLst>
                    <c:strCache>
                      <c:ptCount val="1"/>
                      <c:pt idx="0">
                        <c:v>No.1 Main Air Compressor</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(Temperature!$E$7,Temperature!$H$7,Temperature!$K$7,Temperature!$N$7,Temperature!$Q$7,Temperature!$T$7,Temperature!$W$7,Temperature!$Z$7,Temperature!$AC$7,Temperature!$AF$7,Temperature!$AI$7,Temperature!$AL$7)</c15:sqref>
                        </c15:formulaRef>
                      </c:ext>
                    </c:extLst>
                    <c:numCache>
                      <c:formatCode>0;\-0;;@</c:formatCode>
                      <c:ptCount val="12"/>
                      <c:pt idx="0">
                        <c:v>13</c:v>
                      </c:pt>
                      <c:pt idx="1">
                        <c:v>6</c:v>
                      </c:pt>
                      <c:pt idx="2">
                        <c:v>9</c:v>
                      </c:pt>
                      <c:pt idx="3">
                        <c:v>11</c:v>
                      </c:pt>
                      <c:pt idx="4">
                        <c:v>14</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5-022B-488B-AD53-EEAD6F7A241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Temperature!$B$8</c15:sqref>
                        </c15:formulaRef>
                      </c:ext>
                    </c:extLst>
                    <c:strCache>
                      <c:ptCount val="1"/>
                      <c:pt idx="0">
                        <c:v>No.2 Main Air Compressor</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(Temperature!$E$8,Temperature!$H$8,Temperature!$K$8,Temperature!$N$8,Temperature!$Q$8,Temperature!$T$8,Temperature!$W$8,Temperature!$Z$8,Temperature!$AC$8,Temperature!$AF$8,Temperature!$AI$8,Temperature!$AL$8)</c15:sqref>
                        </c15:formulaRef>
                      </c:ext>
                    </c:extLst>
                    <c:numCache>
                      <c:formatCode>0;\-0;;@</c:formatCode>
                      <c:ptCount val="12"/>
                      <c:pt idx="0">
                        <c:v>11</c:v>
                      </c:pt>
                      <c:pt idx="1">
                        <c:v>6</c:v>
                      </c:pt>
                      <c:pt idx="2">
                        <c:v>10</c:v>
                      </c:pt>
                      <c:pt idx="3">
                        <c:v>12</c:v>
                      </c:pt>
                      <c:pt idx="4">
                        <c:v>12</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022B-488B-AD53-EEAD6F7A241B}"/>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Temperature!$B$9</c15:sqref>
                        </c15:formulaRef>
                      </c:ext>
                    </c:extLst>
                    <c:strCache>
                      <c:ptCount val="1"/>
                      <c:pt idx="0">
                        <c:v>No.1 Main Cooling S.W. Pump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(Temperature!$E$9,Temperature!$H$9,Temperature!$K$9,Temperature!$N$9,Temperature!$Q$9,Temperature!$T$9,Temperature!$W$9,Temperature!$Z$9,Temperature!$AC$9,Temperature!$AF$9,Temperature!$AI$9,Temperature!$AL$9)</c15:sqref>
                        </c15:formulaRef>
                      </c:ext>
                    </c:extLst>
                    <c:numCache>
                      <c:formatCode>0;\-0;;@</c:formatCode>
                      <c:ptCount val="12"/>
                      <c:pt idx="0">
                        <c:v>10</c:v>
                      </c:pt>
                      <c:pt idx="1">
                        <c:v>-38</c:v>
                      </c:pt>
                      <c:pt idx="2">
                        <c:v>11</c:v>
                      </c:pt>
                      <c:pt idx="3">
                        <c:v>10</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7-022B-488B-AD53-EEAD6F7A241B}"/>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Temperature!$B$10</c15:sqref>
                        </c15:formulaRef>
                      </c:ext>
                    </c:extLst>
                    <c:strCache>
                      <c:ptCount val="1"/>
                      <c:pt idx="0">
                        <c:v>No.2 Main Cooling S.W. Pump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(Temperature!$E$10,Temperature!$H$10,Temperature!$K$10,Temperature!$N$10,Temperature!$Q$10,Temperature!$T$10,Temperature!$W$10,Temperature!$Z$10,Temperature!$AC$10,Temperature!$AF$10,Temperature!$AI$10,Temperature!$AL$10)</c15:sqref>
                        </c15:formulaRef>
                      </c:ext>
                    </c:extLst>
                    <c:numCache>
                      <c:formatCode>0;\-0;;@</c:formatCode>
                      <c:ptCount val="12"/>
                      <c:pt idx="0">
                        <c:v>-25</c:v>
                      </c:pt>
                      <c:pt idx="1">
                        <c:v>4</c:v>
                      </c:pt>
                      <c:pt idx="2">
                        <c:v>-28</c:v>
                      </c:pt>
                      <c:pt idx="3">
                        <c:v>-32</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8-022B-488B-AD53-EEAD6F7A241B}"/>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Temperature!$B$11</c15:sqref>
                        </c15:formulaRef>
                      </c:ext>
                    </c:extLst>
                    <c:strCache>
                      <c:ptCount val="1"/>
                      <c:pt idx="0">
                        <c:v>No.3 Main Cooling S.W. Pump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(Temperature!$E$11,Temperature!$H$11,Temperature!$K$11,Temperature!$N$11,Temperature!$Q$11,Temperature!$T$11,Temperature!$W$11,Temperature!$Z$11,Temperature!$AC$11,Temperature!$AF$11,Temperature!$AI$11,Temperature!$AL$11)</c15:sqref>
                        </c15:formulaRef>
                      </c:ext>
                    </c:extLst>
                    <c:numCache>
                      <c:formatCode>0;\-0;;@</c:formatCode>
                      <c:ptCount val="12"/>
                      <c:pt idx="0">
                        <c:v>-25</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9-022B-488B-AD53-EEAD6F7A241B}"/>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Temperature!$B$13</c15:sqref>
                        </c15:formulaRef>
                      </c:ext>
                    </c:extLst>
                    <c:strCache>
                      <c:ptCount val="1"/>
                      <c:pt idx="0">
                        <c:v>No.1 IGG Blower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(Temperature!$E$13,Temperature!$H$13,Temperature!$K$13,Temperature!$N$13,Temperature!$Q$13,Temperature!$T$13,Temperature!$W$13,Temperature!$Z$13,Temperature!$AC$13,Temperature!$AF$13,Temperature!$AI$13,Temperature!$AL$13)</c15:sqref>
                        </c15:formulaRef>
                      </c:ext>
                    </c:extLst>
                    <c:numCache>
                      <c:formatCode>0;\-0;;@</c:formatCode>
                      <c:ptCount val="12"/>
                      <c:pt idx="0">
                        <c:v>-25</c:v>
                      </c:pt>
                      <c:pt idx="1">
                        <c:v>4</c:v>
                      </c:pt>
                      <c:pt idx="2">
                        <c:v>-28</c:v>
                      </c:pt>
                      <c:pt idx="3">
                        <c:v>9</c:v>
                      </c:pt>
                      <c:pt idx="4">
                        <c:v>-28</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B-022B-488B-AD53-EEAD6F7A241B}"/>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Temperature!$B$14</c15:sqref>
                        </c15:formulaRef>
                      </c:ext>
                    </c:extLst>
                    <c:strCache>
                      <c:ptCount val="1"/>
                      <c:pt idx="0">
                        <c:v>No.2 IGG Blower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(Temperature!$E$14,Temperature!$H$14,Temperature!$K$14,Temperature!$N$14,Temperature!$Q$14,Temperature!$T$14,Temperature!$W$14,Temperature!$Z$14,Temperature!$AC$14,Temperature!$AF$14,Temperature!$AI$14,Temperature!$AL$14)</c15:sqref>
                        </c15:formulaRef>
                      </c:ext>
                    </c:extLst>
                    <c:numCache>
                      <c:formatCode>0;\-0;;@</c:formatCode>
                      <c:ptCount val="12"/>
                      <c:pt idx="0">
                        <c:v>8</c:v>
                      </c:pt>
                      <c:pt idx="1">
                        <c:v>-38</c:v>
                      </c:pt>
                      <c:pt idx="2">
                        <c:v>9</c:v>
                      </c:pt>
                      <c:pt idx="3">
                        <c:v>13</c:v>
                      </c:pt>
                      <c:pt idx="4">
                        <c:v>14</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C-022B-488B-AD53-EEAD6F7A241B}"/>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D-022B-488B-AD53-EEAD6F7A241B}"/>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E-022B-488B-AD53-EEAD6F7A241B}"/>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0F-022B-488B-AD53-EEAD6F7A241B}"/>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Temperature!#REF!</c15:sqref>
                        </c15:formulaRef>
                      </c:ext>
                    </c:extLst>
                    <c:strCache>
                      <c:ptCount val="1"/>
                      <c:pt idx="0">
                        <c:v>#REF!</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Temperature!#REF!</c15:sqref>
                        </c15:formulaRef>
                      </c:ext>
                    </c:extLst>
                  </c:numRef>
                </c:val>
                <c:smooth val="0"/>
                <c:extLst xmlns:c15="http://schemas.microsoft.com/office/drawing/2012/chart">
                  <c:ext xmlns:c16="http://schemas.microsoft.com/office/drawing/2014/chart" uri="{C3380CC4-5D6E-409C-BE32-E72D297353CC}">
                    <c16:uniqueId val="{00000010-022B-488B-AD53-EEAD6F7A241B}"/>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Temperature!$B$15</c15:sqref>
                        </c15:formulaRef>
                      </c:ext>
                    </c:extLst>
                    <c:strCache>
                      <c:ptCount val="1"/>
                      <c:pt idx="0">
                        <c:v>Incinerator Flue Gas Fan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(Temperature!$E$15,Temperature!$H$15,Temperature!$K$15,Temperature!$N$15,Temperature!$Q$15,Temperature!$T$15,Temperature!$W$15,Temperature!$Z$15,Temperature!$AC$15,Temperature!$AF$15,Temperature!$AI$15,Temperature!$AL$15)</c15:sqref>
                        </c15:formulaRef>
                      </c:ext>
                    </c:extLst>
                    <c:numCache>
                      <c:formatCode>0;\-0;;@</c:formatCode>
                      <c:ptCount val="12"/>
                      <c:pt idx="0">
                        <c:v>9</c:v>
                      </c:pt>
                      <c:pt idx="1">
                        <c:v>4</c:v>
                      </c:pt>
                      <c:pt idx="2">
                        <c:v>8</c:v>
                      </c:pt>
                      <c:pt idx="3">
                        <c:v>9</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1-022B-488B-AD53-EEAD6F7A241B}"/>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Temperature!$B$16</c15:sqref>
                        </c15:formulaRef>
                      </c:ext>
                    </c:extLst>
                    <c:strCache>
                      <c:ptCount val="1"/>
                      <c:pt idx="0">
                        <c:v>Incinerator Blower Motor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(Temperature!$E$16,Temperature!$H$16,Temperature!$K$16,Temperature!$N$16,Temperature!$Q$16,Temperature!$T$16,Temperature!$W$16,Temperature!$Z$16,Temperature!$AC$16,Temperature!$AF$16,Temperature!$AI$16,Temperature!$AL$16)</c15:sqref>
                        </c15:formulaRef>
                      </c:ext>
                    </c:extLst>
                    <c:numCache>
                      <c:formatCode>0;\-0;;@</c:formatCode>
                      <c:ptCount val="12"/>
                      <c:pt idx="0">
                        <c:v>10</c:v>
                      </c:pt>
                      <c:pt idx="1">
                        <c:v>0</c:v>
                      </c:pt>
                      <c:pt idx="2">
                        <c:v>7</c:v>
                      </c:pt>
                      <c:pt idx="3">
                        <c:v>10</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2-022B-488B-AD53-EEAD6F7A241B}"/>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Temperature!$B$17</c15:sqref>
                        </c15:formulaRef>
                      </c:ext>
                    </c:extLst>
                    <c:strCache>
                      <c:ptCount val="1"/>
                      <c:pt idx="0">
                        <c:v>No.1 Deck Seal Pump</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(Temperature!$E$17,Temperature!$H$17,Temperature!$K$17,Temperature!$N$17,Temperature!$Q$17,Temperature!$T$17,Temperature!$W$17,Temperature!$Z$17,Temperature!$AC$17,Temperature!$AF$17,Temperature!$AI$17,Temperature!$AL$17)</c15:sqref>
                        </c15:formulaRef>
                      </c:ext>
                    </c:extLst>
                    <c:numCache>
                      <c:formatCode>0;\-0;;@</c:formatCode>
                      <c:ptCount val="12"/>
                      <c:pt idx="0">
                        <c:v>7</c:v>
                      </c:pt>
                      <c:pt idx="1">
                        <c:v>-38</c:v>
                      </c:pt>
                      <c:pt idx="2">
                        <c:v>8</c:v>
                      </c:pt>
                      <c:pt idx="3">
                        <c:v>8</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3-022B-488B-AD53-EEAD6F7A241B}"/>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Temperature!$B$18</c15:sqref>
                        </c15:formulaRef>
                      </c:ext>
                    </c:extLst>
                    <c:strCache>
                      <c:ptCount val="1"/>
                      <c:pt idx="0">
                        <c:v>No.2 Deck Seal Pump</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(Temperature!$E$18,Temperature!$H$18,Temperature!$K$18,Temperature!$N$18,Temperature!$Q$18,Temperature!$T$18,Temperature!$W$18,Temperature!$Z$18,Temperature!$AC$18,Temperature!$AF$18,Temperature!$AI$18,Temperature!$AL$18)</c15:sqref>
                        </c15:formulaRef>
                      </c:ext>
                    </c:extLst>
                    <c:numCache>
                      <c:formatCode>0;\-0;;@</c:formatCode>
                      <c:ptCount val="12"/>
                      <c:pt idx="0">
                        <c:v>-25</c:v>
                      </c:pt>
                      <c:pt idx="1">
                        <c:v>-1</c:v>
                      </c:pt>
                      <c:pt idx="2">
                        <c:v>-28</c:v>
                      </c:pt>
                      <c:pt idx="3">
                        <c:v>-32</c:v>
                      </c:pt>
                      <c:pt idx="4">
                        <c:v>10</c:v>
                      </c:pt>
                      <c:pt idx="5">
                        <c:v>5</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4-022B-488B-AD53-EEAD6F7A241B}"/>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Temperature!$B$20</c15:sqref>
                        </c15:formulaRef>
                      </c:ext>
                    </c:extLst>
                    <c:strCache>
                      <c:ptCount val="1"/>
                      <c:pt idx="0">
                        <c:v>No.1 G/E L.O. Priming Pump</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(Temperature!$E$20,Temperature!$H$20,Temperature!$K$20,Temperature!$N$20,Temperature!$Q$20,Temperature!$T$20,Temperature!$W$20,Temperature!$Z$20,Temperature!$AC$20,Temperature!$AF$20,Temperature!$AI$20,Temperature!$AL$20)</c15:sqref>
                        </c15:formulaRef>
                      </c:ext>
                    </c:extLst>
                    <c:numCache>
                      <c:formatCode>0;\-0;;@</c:formatCode>
                      <c:ptCount val="12"/>
                      <c:pt idx="0">
                        <c:v>12</c:v>
                      </c:pt>
                      <c:pt idx="1">
                        <c:v>0</c:v>
                      </c:pt>
                      <c:pt idx="2">
                        <c:v>8</c:v>
                      </c:pt>
                      <c:pt idx="3">
                        <c:v>10</c:v>
                      </c:pt>
                      <c:pt idx="4">
                        <c:v>10</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6-022B-488B-AD53-EEAD6F7A241B}"/>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Temperature!$B$21</c15:sqref>
                        </c15:formulaRef>
                      </c:ext>
                    </c:extLst>
                    <c:strCache>
                      <c:ptCount val="1"/>
                      <c:pt idx="0">
                        <c:v>No.2 G/E L.O. Priming Pump</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(Temperature!$E$21,Temperature!$H$21,Temperature!$K$21,Temperature!$N$21,Temperature!$Q$21,Temperature!$T$21,Temperature!$W$21,Temperature!$Z$21,Temperature!$AC$21,Temperature!$AF$21,Temperature!$AI$21,Temperature!$AL$21)</c15:sqref>
                        </c15:formulaRef>
                      </c:ext>
                    </c:extLst>
                    <c:numCache>
                      <c:formatCode>0;\-0;;@</c:formatCode>
                      <c:ptCount val="12"/>
                      <c:pt idx="0">
                        <c:v>11</c:v>
                      </c:pt>
                      <c:pt idx="1">
                        <c:v>0</c:v>
                      </c:pt>
                      <c:pt idx="2">
                        <c:v>9</c:v>
                      </c:pt>
                      <c:pt idx="3">
                        <c:v>9</c:v>
                      </c:pt>
                      <c:pt idx="4">
                        <c:v>8</c:v>
                      </c:pt>
                      <c:pt idx="5">
                        <c:v>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7-022B-488B-AD53-EEAD6F7A241B}"/>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Temperature!$B$22</c15:sqref>
                        </c15:formulaRef>
                      </c:ext>
                    </c:extLst>
                    <c:strCache>
                      <c:ptCount val="1"/>
                      <c:pt idx="0">
                        <c:v>No.3 G/E L.O. Priming Pump</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(Temperature!$E$22,Temperature!$H$22,Temperature!$K$22,Temperature!$N$22,Temperature!$Q$22,Temperature!$T$22,Temperature!$W$22,Temperature!$Z$22,Temperature!$AC$22,Temperature!$AF$22,Temperature!$AI$22,Temperature!$AL$22)</c15:sqref>
                        </c15:formulaRef>
                      </c:ext>
                    </c:extLst>
                    <c:numCache>
                      <c:formatCode>0;\-0;;@</c:formatCode>
                      <c:ptCount val="12"/>
                      <c:pt idx="0">
                        <c:v>10</c:v>
                      </c:pt>
                      <c:pt idx="1">
                        <c:v>-2</c:v>
                      </c:pt>
                      <c:pt idx="2">
                        <c:v>8</c:v>
                      </c:pt>
                      <c:pt idx="3">
                        <c:v>-32</c:v>
                      </c:pt>
                      <c:pt idx="4">
                        <c:v>8</c:v>
                      </c:pt>
                      <c:pt idx="5">
                        <c:v>4</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8-022B-488B-AD53-EEAD6F7A241B}"/>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Temperature!$B$23</c15:sqref>
                        </c15:formulaRef>
                      </c:ext>
                    </c:extLst>
                    <c:strCache>
                      <c:ptCount val="1"/>
                      <c:pt idx="0">
                        <c:v>No.1 M/E FO Circulating Pump</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(Temperature!$E$23,Temperature!$H$23,Temperature!$K$23,Temperature!$N$23,Temperature!$Q$23,Temperature!$T$23,Temperature!$W$23,Temperature!$Z$23,Temperature!$AC$23,Temperature!$AF$23,Temperature!$AI$23,Temperature!$AL$23)</c15:sqref>
                        </c15:formulaRef>
                      </c:ext>
                    </c:extLst>
                    <c:numCache>
                      <c:formatCode>0;\-0;;@</c:formatCode>
                      <c:ptCount val="12"/>
                      <c:pt idx="0">
                        <c:v>-25</c:v>
                      </c:pt>
                      <c:pt idx="1">
                        <c:v>6</c:v>
                      </c:pt>
                      <c:pt idx="2">
                        <c:v>11</c:v>
                      </c:pt>
                      <c:pt idx="3">
                        <c:v>16</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9-022B-488B-AD53-EEAD6F7A241B}"/>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Temperature!$B$24</c15:sqref>
                        </c15:formulaRef>
                      </c:ext>
                    </c:extLst>
                    <c:strCache>
                      <c:ptCount val="1"/>
                      <c:pt idx="0">
                        <c:v>No.2 M/E FO Circulating Pump</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(Temperature!$E$24,Temperature!$H$24,Temperature!$K$24,Temperature!$N$24,Temperature!$Q$24,Temperature!$T$24,Temperature!$W$24,Temperature!$Z$24,Temperature!$AC$24,Temperature!$AF$24,Temperature!$AI$24,Temperature!$AL$24)</c15:sqref>
                        </c15:formulaRef>
                      </c:ext>
                    </c:extLst>
                    <c:numCache>
                      <c:formatCode>0;\-0;;@</c:formatCode>
                      <c:ptCount val="12"/>
                      <c:pt idx="0">
                        <c:v>13</c:v>
                      </c:pt>
                      <c:pt idx="1">
                        <c:v>-38</c:v>
                      </c:pt>
                      <c:pt idx="2">
                        <c:v>-28</c:v>
                      </c:pt>
                      <c:pt idx="3">
                        <c:v>-32</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A-022B-488B-AD53-EEAD6F7A241B}"/>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Temperature!$B$26</c15:sqref>
                        </c15:formulaRef>
                      </c:ext>
                    </c:extLst>
                    <c:strCache>
                      <c:ptCount val="1"/>
                      <c:pt idx="0">
                        <c:v>STP Blower </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(Temperature!$E$26,Temperature!$H$26,Temperature!$K$26,Temperature!$N$26,Temperature!$Q$26,Temperature!$T$26,Temperature!$W$26,Temperature!$Z$26,Temperature!$AC$26,Temperature!$AF$26,Temperature!$AI$26,Temperature!$AL$26)</c15:sqref>
                        </c15:formulaRef>
                      </c:ext>
                    </c:extLst>
                    <c:numCache>
                      <c:formatCode>0;\-0;;@</c:formatCode>
                      <c:ptCount val="12"/>
                      <c:pt idx="0">
                        <c:v>11</c:v>
                      </c:pt>
                      <c:pt idx="1">
                        <c:v>6</c:v>
                      </c:pt>
                      <c:pt idx="2">
                        <c:v>7</c:v>
                      </c:pt>
                      <c:pt idx="3">
                        <c:v>7</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0-022B-488B-AD53-EEAD6F7A241B}"/>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Temperature!$B$27</c15:sqref>
                        </c15:formulaRef>
                      </c:ext>
                    </c:extLst>
                    <c:strCache>
                      <c:ptCount val="1"/>
                      <c:pt idx="0">
                        <c:v>STP Discharge Pump</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(Temperature!$E$27,Temperature!$H$27,Temperature!$K$27,Temperature!$N$27,Temperature!$Q$27,Temperature!$T$27,Temperature!$W$27,Temperature!$Z$27,Temperature!$AC$27,Temperature!$AF$27,Temperature!$AI$27,Temperature!$AL$27)</c15:sqref>
                        </c15:formulaRef>
                      </c:ext>
                    </c:extLst>
                    <c:numCache>
                      <c:formatCode>0;\-0;;@</c:formatCode>
                      <c:ptCount val="12"/>
                      <c:pt idx="0">
                        <c:v>9</c:v>
                      </c:pt>
                      <c:pt idx="1">
                        <c:v>1</c:v>
                      </c:pt>
                      <c:pt idx="2">
                        <c:v>6</c:v>
                      </c:pt>
                      <c:pt idx="3">
                        <c:v>10</c:v>
                      </c:pt>
                      <c:pt idx="4">
                        <c:v>8</c:v>
                      </c:pt>
                      <c:pt idx="5">
                        <c:v>7</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1-022B-488B-AD53-EEAD6F7A241B}"/>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Temperature!$B$28</c15:sqref>
                        </c15:formulaRef>
                      </c:ext>
                    </c:extLst>
                    <c:strCache>
                      <c:ptCount val="1"/>
                      <c:pt idx="0">
                        <c:v>STP Ejector Pump #1</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(Temperature!$E$28,Temperature!$H$28,Temperature!$K$28,Temperature!$N$28,Temperature!$Q$28,Temperature!$T$28,Temperature!$W$28,Temperature!$Z$28,Temperature!$AC$28,Temperature!$AF$28,Temperature!$AI$28,Temperature!$AL$28)</c15:sqref>
                        </c15:formulaRef>
                      </c:ext>
                    </c:extLst>
                    <c:numCache>
                      <c:formatCode>0;\-0;;@</c:formatCode>
                      <c:ptCount val="12"/>
                      <c:pt idx="0">
                        <c:v>11</c:v>
                      </c:pt>
                      <c:pt idx="1">
                        <c:v>-38</c:v>
                      </c:pt>
                      <c:pt idx="2">
                        <c:v>5</c:v>
                      </c:pt>
                      <c:pt idx="3">
                        <c:v>9</c:v>
                      </c:pt>
                      <c:pt idx="4">
                        <c:v>-28</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2-022B-488B-AD53-EEAD6F7A241B}"/>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Temperature!$B$29</c15:sqref>
                        </c15:formulaRef>
                      </c:ext>
                    </c:extLst>
                    <c:strCache>
                      <c:ptCount val="1"/>
                      <c:pt idx="0">
                        <c:v>STP Ejector Pump #2</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(Temperature!$E$29,Temperature!$H$29,Temperature!$K$29,Temperature!$N$29,Temperature!$Q$29,Temperature!$T$29,Temperature!$W$29,Temperature!$Z$29,Temperature!$AC$29,Temperature!$AF$29,Temperature!$AI$29,Temperature!$AL$29)</c15:sqref>
                        </c15:formulaRef>
                      </c:ext>
                    </c:extLst>
                    <c:numCache>
                      <c:formatCode>0;\-0;;@</c:formatCode>
                      <c:ptCount val="12"/>
                      <c:pt idx="0">
                        <c:v>-25</c:v>
                      </c:pt>
                      <c:pt idx="1">
                        <c:v>4</c:v>
                      </c:pt>
                      <c:pt idx="2">
                        <c:v>5</c:v>
                      </c:pt>
                      <c:pt idx="3">
                        <c:v>10</c:v>
                      </c:pt>
                      <c:pt idx="4">
                        <c:v>10</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3-022B-488B-AD53-EEAD6F7A241B}"/>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Temperature!$B$30</c15:sqref>
                        </c15:formulaRef>
                      </c:ext>
                    </c:extLst>
                    <c:strCache>
                      <c:ptCount val="1"/>
                      <c:pt idx="0">
                        <c:v>No.1 Main LO Pump </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(Temperature!$E$30,Temperature!$H$30,Temperature!$K$30,Temperature!$N$30,Temperature!$Q$30,Temperature!$T$30,Temperature!$W$30,Temperature!$Z$30,Temperature!$AC$30,Temperature!$AF$30,Temperature!$AI$30,Temperature!$AL$30)</c15:sqref>
                        </c15:formulaRef>
                      </c:ext>
                    </c:extLst>
                    <c:numCache>
                      <c:formatCode>0;\-0;;@</c:formatCode>
                      <c:ptCount val="12"/>
                      <c:pt idx="0">
                        <c:v>-25</c:v>
                      </c:pt>
                      <c:pt idx="1">
                        <c:v>6</c:v>
                      </c:pt>
                      <c:pt idx="2">
                        <c:v>-28</c:v>
                      </c:pt>
                      <c:pt idx="3">
                        <c:v>11</c:v>
                      </c:pt>
                      <c:pt idx="4">
                        <c:v>-28</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C-022B-488B-AD53-EEAD6F7A241B}"/>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Temperature!$B$31</c15:sqref>
                        </c15:formulaRef>
                      </c:ext>
                    </c:extLst>
                    <c:strCache>
                      <c:ptCount val="1"/>
                      <c:pt idx="0">
                        <c:v>No.2 Main LO Pump </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(Temperature!$E$31,Temperature!$H$31,Temperature!$K$31,Temperature!$N$31,Temperature!$Q$31,Temperature!$T$31,Temperature!$W$31,Temperature!$Z$31,Temperature!$AC$31,Temperature!$AF$31,Temperature!$AI$31,Temperature!$AL$31)</c15:sqref>
                        </c15:formulaRef>
                      </c:ext>
                    </c:extLst>
                    <c:numCache>
                      <c:formatCode>0;\-0;;@</c:formatCode>
                      <c:ptCount val="12"/>
                      <c:pt idx="0">
                        <c:v>11</c:v>
                      </c:pt>
                      <c:pt idx="1">
                        <c:v>-38</c:v>
                      </c:pt>
                      <c:pt idx="2">
                        <c:v>9</c:v>
                      </c:pt>
                      <c:pt idx="3">
                        <c:v>-32</c:v>
                      </c:pt>
                      <c:pt idx="4">
                        <c:v>12</c:v>
                      </c:pt>
                      <c:pt idx="5">
                        <c:v>-32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D-022B-488B-AD53-EEAD6F7A241B}"/>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Temperature!$B$32</c15:sqref>
                        </c15:formulaRef>
                      </c:ext>
                    </c:extLst>
                    <c:strCache>
                      <c:ptCount val="1"/>
                      <c:pt idx="0">
                        <c:v>No.1 Steering Gear</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(Temperature!$E$32,Temperature!$H$32,Temperature!$K$32,Temperature!$N$32,Temperature!$Q$32,Temperature!$T$32,Temperature!$W$32,Temperature!$Z$32,Temperature!$AC$32,Temperature!$AF$32,Temperature!$AI$32,Temperature!$AL$32)</c15:sqref>
                        </c15:formulaRef>
                      </c:ext>
                    </c:extLst>
                    <c:numCache>
                      <c:formatCode>0;\-0;;@</c:formatCode>
                      <c:ptCount val="12"/>
                      <c:pt idx="0">
                        <c:v>11</c:v>
                      </c:pt>
                      <c:pt idx="1">
                        <c:v>4</c:v>
                      </c:pt>
                      <c:pt idx="2">
                        <c:v>10</c:v>
                      </c:pt>
                      <c:pt idx="3">
                        <c:v>10</c:v>
                      </c:pt>
                      <c:pt idx="4">
                        <c:v>10</c:v>
                      </c:pt>
                      <c:pt idx="5">
                        <c:v>12</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E-022B-488B-AD53-EEAD6F7A241B}"/>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Temperature!$B$33</c15:sqref>
                        </c15:formulaRef>
                      </c:ext>
                    </c:extLst>
                    <c:strCache>
                      <c:ptCount val="1"/>
                      <c:pt idx="0">
                        <c:v>No.2 Steering Gear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extLst xmlns:c15="http://schemas.microsoft.com/office/drawing/2012/chart">
                      <c:ext xmlns:c15="http://schemas.microsoft.com/office/drawing/2012/chart" uri="{02D57815-91ED-43cb-92C2-25804820EDAC}">
                        <c15:formulaRef>
                          <c15:sqref>(Temperature!$E$5,Temperature!$H$5,Temperature!$K$5,Temperature!$N$5,Temperature!$Q$5,Temperature!$T$5,Temperature!$W$5,Temperature!$Z$5,Temperature!$AC$5,Temperature!$AF$5,Temperature!$AI$5,Temperature!$AL$5)</c15:sqref>
                        </c15:formulaRef>
                      </c:ext>
                    </c:extLst>
                    <c:strCache>
                      <c:ptCount val="12"/>
                      <c:pt idx="0">
                        <c:v>Jan-Diff from E/R Temp</c:v>
                      </c:pt>
                      <c:pt idx="1">
                        <c:v>Feb-Diff from E/R Temp</c:v>
                      </c:pt>
                      <c:pt idx="2">
                        <c:v>Mar-Diff from E/R Temp</c:v>
                      </c:pt>
                      <c:pt idx="3">
                        <c:v>Apr-Diff from E/R Temp</c:v>
                      </c:pt>
                      <c:pt idx="4">
                        <c:v>May-Diff from E/R Temp</c:v>
                      </c:pt>
                      <c:pt idx="5">
                        <c:v>Jun-Diff from E/R Temp</c:v>
                      </c:pt>
                      <c:pt idx="6">
                        <c:v>Jul-Diff from E/R Temp</c:v>
                      </c:pt>
                      <c:pt idx="7">
                        <c:v>Aug-Diff from E/R Temp</c:v>
                      </c:pt>
                      <c:pt idx="8">
                        <c:v>Sept-Diff from E/R Temp</c:v>
                      </c:pt>
                      <c:pt idx="9">
                        <c:v>Oct-Diff from E/R Temp</c:v>
                      </c:pt>
                      <c:pt idx="10">
                        <c:v>Nov-Diff from E/R Temp</c:v>
                      </c:pt>
                      <c:pt idx="11">
                        <c:v>Dec-Diff from E/R Temp</c:v>
                      </c:pt>
                    </c:strCache>
                  </c:strRef>
                </c:cat>
                <c:val>
                  <c:numRef>
                    <c:extLst xmlns:c15="http://schemas.microsoft.com/office/drawing/2012/chart">
                      <c:ext xmlns:c15="http://schemas.microsoft.com/office/drawing/2012/chart" uri="{02D57815-91ED-43cb-92C2-25804820EDAC}">
                        <c15:formulaRef>
                          <c15:sqref>(Temperature!$E$33,Temperature!$H$33,Temperature!$K$33,Temperature!$N$33,Temperature!$Q$33,Temperature!$T$33,Temperature!$W$33,Temperature!$Z$33,Temperature!$AC$33,Temperature!$AF$33,Temperature!$AI$33,Temperature!$AL$33)</c15:sqref>
                        </c15:formulaRef>
                      </c:ext>
                    </c:extLst>
                    <c:numCache>
                      <c:formatCode>0;\-0;;@</c:formatCode>
                      <c:ptCount val="12"/>
                      <c:pt idx="0">
                        <c:v>12</c:v>
                      </c:pt>
                      <c:pt idx="1">
                        <c:v>4</c:v>
                      </c:pt>
                      <c:pt idx="2">
                        <c:v>10</c:v>
                      </c:pt>
                      <c:pt idx="3">
                        <c:v>11</c:v>
                      </c:pt>
                      <c:pt idx="4">
                        <c:v>12</c:v>
                      </c:pt>
                      <c:pt idx="5">
                        <c:v>10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F-022B-488B-AD53-EEAD6F7A241B}"/>
                  </c:ext>
                </c:extLst>
              </c15:ser>
            </c15:filteredLineSeries>
          </c:ext>
        </c:extLst>
      </c:lineChart>
      <c:catAx>
        <c:axId val="42333696"/>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18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2335232"/>
        <c:crosses val="autoZero"/>
        <c:auto val="1"/>
        <c:lblAlgn val="ctr"/>
        <c:lblOffset val="100"/>
        <c:noMultiLvlLbl val="0"/>
      </c:catAx>
      <c:valAx>
        <c:axId val="423352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233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 Monitoring of Electrical Motors JUNE 2026.xlsx]Sheet1!PivotTable1</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No.1 Main Air Compressor</c:v>
                </c:pt>
              </c:strCache>
            </c:strRef>
          </c:tx>
          <c:spPr>
            <a:solidFill>
              <a:schemeClr val="accent1"/>
            </a:solidFill>
            <a:ln>
              <a:noFill/>
            </a:ln>
            <a:effectLst/>
          </c:spPr>
          <c:invertIfNegative val="0"/>
          <c:cat>
            <c:strRef>
              <c:f>Sheet1!$A$5:$A$16</c:f>
              <c:strCache>
                <c:ptCount val="12"/>
                <c:pt idx="0">
                  <c:v>Jan-Vel </c:v>
                </c:pt>
                <c:pt idx="1">
                  <c:v>Feb-Vel </c:v>
                </c:pt>
                <c:pt idx="2">
                  <c:v>Mar-Vel </c:v>
                </c:pt>
                <c:pt idx="3">
                  <c:v>Apr-Vel </c:v>
                </c:pt>
                <c:pt idx="4">
                  <c:v>May-Vel </c:v>
                </c:pt>
                <c:pt idx="5">
                  <c:v>Jun-Vel </c:v>
                </c:pt>
                <c:pt idx="6">
                  <c:v>Jul-Vel </c:v>
                </c:pt>
                <c:pt idx="7">
                  <c:v>Aug-Vel </c:v>
                </c:pt>
                <c:pt idx="8">
                  <c:v>Sep-Vel </c:v>
                </c:pt>
                <c:pt idx="9">
                  <c:v>Oct-Vel </c:v>
                </c:pt>
                <c:pt idx="10">
                  <c:v>Nov-Vel </c:v>
                </c:pt>
                <c:pt idx="11">
                  <c:v>Dec-Vel </c:v>
                </c:pt>
              </c:strCache>
            </c:strRef>
          </c:cat>
          <c:val>
            <c:numRef>
              <c:f>Sheet1!$B$5:$B$16</c:f>
              <c:numCache>
                <c:formatCode>General</c:formatCode>
                <c:ptCount val="12"/>
                <c:pt idx="0">
                  <c:v>9.94</c:v>
                </c:pt>
                <c:pt idx="1">
                  <c:v>9.98</c:v>
                </c:pt>
                <c:pt idx="2">
                  <c:v>10</c:v>
                </c:pt>
                <c:pt idx="3">
                  <c:v>9.5</c:v>
                </c:pt>
                <c:pt idx="4">
                  <c:v>9.5399999999999991</c:v>
                </c:pt>
                <c:pt idx="5">
                  <c:v>9.98</c:v>
                </c:pt>
              </c:numCache>
            </c:numRef>
          </c:val>
          <c:extLst>
            <c:ext xmlns:c16="http://schemas.microsoft.com/office/drawing/2014/chart" uri="{C3380CC4-5D6E-409C-BE32-E72D297353CC}">
              <c16:uniqueId val="{00000000-3762-417A-A914-2FB2FAA54587}"/>
            </c:ext>
          </c:extLst>
        </c:ser>
        <c:dLbls>
          <c:showLegendKey val="0"/>
          <c:showVal val="0"/>
          <c:showCatName val="0"/>
          <c:showSerName val="0"/>
          <c:showPercent val="0"/>
          <c:showBubbleSize val="0"/>
        </c:dLbls>
        <c:gapWidth val="219"/>
        <c:overlap val="-27"/>
        <c:axId val="43368448"/>
        <c:axId val="43369984"/>
      </c:barChart>
      <c:catAx>
        <c:axId val="4336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9984"/>
        <c:crosses val="autoZero"/>
        <c:auto val="1"/>
        <c:lblAlgn val="ctr"/>
        <c:lblOffset val="100"/>
        <c:noMultiLvlLbl val="0"/>
      </c:catAx>
      <c:valAx>
        <c:axId val="4336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 Monitoring of Electrical Motors JUNE 2026.xlsx]Sheet1!PivotTable2</c:name>
    <c:fmtId val="5"/>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Sheet1!$B$33:$B$34</c:f>
              <c:strCache>
                <c:ptCount val="1"/>
                <c:pt idx="0">
                  <c:v>Economiser Feed water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Sheet1!$B$35:$B$46</c:f>
              <c:numCache>
                <c:formatCode>General</c:formatCode>
                <c:ptCount val="12"/>
              </c:numCache>
            </c:numRef>
          </c:val>
          <c:extLst>
            <c:ext xmlns:c16="http://schemas.microsoft.com/office/drawing/2014/chart" uri="{C3380CC4-5D6E-409C-BE32-E72D297353CC}">
              <c16:uniqueId val="{00000000-F659-48E6-93A8-D8180A79EC44}"/>
            </c:ext>
          </c:extLst>
        </c:ser>
        <c:ser>
          <c:idx val="1"/>
          <c:order val="1"/>
          <c:tx>
            <c:strRef>
              <c:f>Sheet1!$C$33:$C$34</c:f>
              <c:strCache>
                <c:ptCount val="1"/>
                <c:pt idx="0">
                  <c:v>FWG Ejector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Sheet1!$C$35:$C$46</c:f>
              <c:numCache>
                <c:formatCode>General</c:formatCode>
                <c:ptCount val="12"/>
                <c:pt idx="0">
                  <c:v>38.5</c:v>
                </c:pt>
                <c:pt idx="1">
                  <c:v>38.6</c:v>
                </c:pt>
                <c:pt idx="2">
                  <c:v>38.68</c:v>
                </c:pt>
                <c:pt idx="3">
                  <c:v>26.2</c:v>
                </c:pt>
                <c:pt idx="4">
                  <c:v>38.28</c:v>
                </c:pt>
                <c:pt idx="5">
                  <c:v>38.6</c:v>
                </c:pt>
              </c:numCache>
            </c:numRef>
          </c:val>
          <c:extLst>
            <c:ext xmlns:c16="http://schemas.microsoft.com/office/drawing/2014/chart" uri="{C3380CC4-5D6E-409C-BE32-E72D297353CC}">
              <c16:uniqueId val="{00000000-045F-4422-959C-A4FA8C645FF7}"/>
            </c:ext>
          </c:extLst>
        </c:ser>
        <c:ser>
          <c:idx val="2"/>
          <c:order val="2"/>
          <c:tx>
            <c:strRef>
              <c:f>Sheet1!$D$33:$D$34</c:f>
              <c:strCache>
                <c:ptCount val="1"/>
                <c:pt idx="0">
                  <c:v>IGG Scrubber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Sheet1!$D$35:$D$46</c:f>
              <c:numCache>
                <c:formatCode>General</c:formatCode>
                <c:ptCount val="12"/>
                <c:pt idx="0">
                  <c:v>37.520000000000003</c:v>
                </c:pt>
                <c:pt idx="1">
                  <c:v>37.6</c:v>
                </c:pt>
                <c:pt idx="2">
                  <c:v>37.700000000000003</c:v>
                </c:pt>
                <c:pt idx="3">
                  <c:v>31</c:v>
                </c:pt>
                <c:pt idx="4">
                  <c:v>30.28</c:v>
                </c:pt>
                <c:pt idx="5">
                  <c:v>37.6</c:v>
                </c:pt>
              </c:numCache>
            </c:numRef>
          </c:val>
          <c:extLst>
            <c:ext xmlns:c16="http://schemas.microsoft.com/office/drawing/2014/chart" uri="{C3380CC4-5D6E-409C-BE32-E72D297353CC}">
              <c16:uniqueId val="{00000001-045F-4422-959C-A4FA8C645FF7}"/>
            </c:ext>
          </c:extLst>
        </c:ser>
        <c:ser>
          <c:idx val="3"/>
          <c:order val="3"/>
          <c:tx>
            <c:strRef>
              <c:f>Sheet1!$E$33:$E$34</c:f>
              <c:strCache>
                <c:ptCount val="1"/>
                <c:pt idx="0">
                  <c:v>Incinerator Blower Motor</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Sheet1!$E$35:$E$46</c:f>
              <c:numCache>
                <c:formatCode>General</c:formatCode>
                <c:ptCount val="12"/>
                <c:pt idx="0">
                  <c:v>11.72</c:v>
                </c:pt>
                <c:pt idx="1">
                  <c:v>11.8</c:v>
                </c:pt>
                <c:pt idx="2">
                  <c:v>11.85</c:v>
                </c:pt>
                <c:pt idx="3">
                  <c:v>6.3</c:v>
                </c:pt>
                <c:pt idx="4">
                  <c:v>9.51</c:v>
                </c:pt>
                <c:pt idx="5">
                  <c:v>11.8</c:v>
                </c:pt>
              </c:numCache>
            </c:numRef>
          </c:val>
          <c:extLst>
            <c:ext xmlns:c16="http://schemas.microsoft.com/office/drawing/2014/chart" uri="{C3380CC4-5D6E-409C-BE32-E72D297353CC}">
              <c16:uniqueId val="{00000002-045F-4422-959C-A4FA8C645FF7}"/>
            </c:ext>
          </c:extLst>
        </c:ser>
        <c:ser>
          <c:idx val="4"/>
          <c:order val="4"/>
          <c:tx>
            <c:strRef>
              <c:f>Sheet1!$F$33:$F$34</c:f>
              <c:strCache>
                <c:ptCount val="1"/>
                <c:pt idx="0">
                  <c:v>Incinerator Flue Gas Fan</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Sheet1!$F$35:$F$46</c:f>
              <c:numCache>
                <c:formatCode>General</c:formatCode>
                <c:ptCount val="12"/>
                <c:pt idx="0">
                  <c:v>10.6</c:v>
                </c:pt>
                <c:pt idx="1">
                  <c:v>12.7</c:v>
                </c:pt>
                <c:pt idx="2">
                  <c:v>12.8</c:v>
                </c:pt>
                <c:pt idx="4">
                  <c:v>9.14</c:v>
                </c:pt>
                <c:pt idx="5">
                  <c:v>12.7</c:v>
                </c:pt>
              </c:numCache>
            </c:numRef>
          </c:val>
          <c:extLst>
            <c:ext xmlns:c16="http://schemas.microsoft.com/office/drawing/2014/chart" uri="{C3380CC4-5D6E-409C-BE32-E72D297353CC}">
              <c16:uniqueId val="{00000003-045F-4422-959C-A4FA8C645FF7}"/>
            </c:ext>
          </c:extLst>
        </c:ser>
        <c:ser>
          <c:idx val="5"/>
          <c:order val="5"/>
          <c:tx>
            <c:strRef>
              <c:f>Sheet1!$G$33:$G$34</c:f>
              <c:strCache>
                <c:ptCount val="1"/>
                <c:pt idx="0">
                  <c:v>No.1 Deck Seal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Sheet1!$G$35:$G$46</c:f>
              <c:numCache>
                <c:formatCode>General</c:formatCode>
                <c:ptCount val="12"/>
                <c:pt idx="0">
                  <c:v>7.9</c:v>
                </c:pt>
                <c:pt idx="2">
                  <c:v>8.07</c:v>
                </c:pt>
                <c:pt idx="3">
                  <c:v>8.4</c:v>
                </c:pt>
              </c:numCache>
            </c:numRef>
          </c:val>
          <c:extLst>
            <c:ext xmlns:c16="http://schemas.microsoft.com/office/drawing/2014/chart" uri="{C3380CC4-5D6E-409C-BE32-E72D297353CC}">
              <c16:uniqueId val="{00000004-045F-4422-959C-A4FA8C645FF7}"/>
            </c:ext>
          </c:extLst>
        </c:ser>
        <c:ser>
          <c:idx val="6"/>
          <c:order val="6"/>
          <c:tx>
            <c:strRef>
              <c:f>Sheet1!$H$33:$H$34</c:f>
              <c:strCache>
                <c:ptCount val="1"/>
                <c:pt idx="0">
                  <c:v>No.1 G/E L.O. Priming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Sheet1!$H$35:$H$46</c:f>
              <c:numCache>
                <c:formatCode>General</c:formatCode>
                <c:ptCount val="12"/>
                <c:pt idx="0">
                  <c:v>10.62</c:v>
                </c:pt>
                <c:pt idx="1">
                  <c:v>10.66</c:v>
                </c:pt>
                <c:pt idx="2">
                  <c:v>10.72</c:v>
                </c:pt>
                <c:pt idx="3">
                  <c:v>10.5</c:v>
                </c:pt>
                <c:pt idx="4">
                  <c:v>10.76</c:v>
                </c:pt>
                <c:pt idx="5">
                  <c:v>10.66</c:v>
                </c:pt>
              </c:numCache>
            </c:numRef>
          </c:val>
          <c:extLst>
            <c:ext xmlns:c16="http://schemas.microsoft.com/office/drawing/2014/chart" uri="{C3380CC4-5D6E-409C-BE32-E72D297353CC}">
              <c16:uniqueId val="{00000005-045F-4422-959C-A4FA8C645FF7}"/>
            </c:ext>
          </c:extLst>
        </c:ser>
        <c:ser>
          <c:idx val="7"/>
          <c:order val="7"/>
          <c:tx>
            <c:strRef>
              <c:f>Sheet1!$I$33:$I$34</c:f>
              <c:strCache>
                <c:ptCount val="1"/>
                <c:pt idx="0">
                  <c:v>No.1 IGG Blower</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Sheet1!$I$35:$I$46</c:f>
              <c:numCache>
                <c:formatCode>General</c:formatCode>
                <c:ptCount val="12"/>
                <c:pt idx="1">
                  <c:v>8.6999999999999993</c:v>
                </c:pt>
                <c:pt idx="3">
                  <c:v>15</c:v>
                </c:pt>
                <c:pt idx="4">
                  <c:v>9.1199999999999992</c:v>
                </c:pt>
                <c:pt idx="5">
                  <c:v>8.6999999999999993</c:v>
                </c:pt>
              </c:numCache>
            </c:numRef>
          </c:val>
          <c:extLst>
            <c:ext xmlns:c16="http://schemas.microsoft.com/office/drawing/2014/chart" uri="{C3380CC4-5D6E-409C-BE32-E72D297353CC}">
              <c16:uniqueId val="{00000006-045F-4422-959C-A4FA8C645FF7}"/>
            </c:ext>
          </c:extLst>
        </c:ser>
        <c:ser>
          <c:idx val="8"/>
          <c:order val="8"/>
          <c:tx>
            <c:strRef>
              <c:f>Sheet1!$J$33:$J$34</c:f>
              <c:strCache>
                <c:ptCount val="1"/>
                <c:pt idx="0">
                  <c:v>No.1 M/E FO Circulating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Sheet1!$J$35:$J$46</c:f>
              <c:numCache>
                <c:formatCode>General</c:formatCode>
                <c:ptCount val="12"/>
                <c:pt idx="1">
                  <c:v>6.34</c:v>
                </c:pt>
                <c:pt idx="4">
                  <c:v>13.42</c:v>
                </c:pt>
                <c:pt idx="5">
                  <c:v>6.34</c:v>
                </c:pt>
              </c:numCache>
            </c:numRef>
          </c:val>
          <c:extLst>
            <c:ext xmlns:c16="http://schemas.microsoft.com/office/drawing/2014/chart" uri="{C3380CC4-5D6E-409C-BE32-E72D297353CC}">
              <c16:uniqueId val="{00000007-045F-4422-959C-A4FA8C645FF7}"/>
            </c:ext>
          </c:extLst>
        </c:ser>
        <c:ser>
          <c:idx val="9"/>
          <c:order val="9"/>
          <c:tx>
            <c:strRef>
              <c:f>Sheet1!$K$33:$K$34</c:f>
              <c:strCache>
                <c:ptCount val="1"/>
                <c:pt idx="0">
                  <c:v>No.1 Main Air Compressor</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Sheet1!$K$35:$K$46</c:f>
              <c:numCache>
                <c:formatCode>General</c:formatCode>
                <c:ptCount val="12"/>
                <c:pt idx="0">
                  <c:v>46.9</c:v>
                </c:pt>
                <c:pt idx="1">
                  <c:v>47.3</c:v>
                </c:pt>
                <c:pt idx="2">
                  <c:v>47.34</c:v>
                </c:pt>
                <c:pt idx="3">
                  <c:v>46.25</c:v>
                </c:pt>
                <c:pt idx="4">
                  <c:v>44.75</c:v>
                </c:pt>
                <c:pt idx="5">
                  <c:v>47.3</c:v>
                </c:pt>
              </c:numCache>
            </c:numRef>
          </c:val>
          <c:extLst>
            <c:ext xmlns:c16="http://schemas.microsoft.com/office/drawing/2014/chart" uri="{C3380CC4-5D6E-409C-BE32-E72D297353CC}">
              <c16:uniqueId val="{00000008-045F-4422-959C-A4FA8C645FF7}"/>
            </c:ext>
          </c:extLst>
        </c:ser>
        <c:ser>
          <c:idx val="10"/>
          <c:order val="10"/>
          <c:tx>
            <c:strRef>
              <c:f>Sheet1!$L$33:$L$34</c:f>
              <c:strCache>
                <c:ptCount val="1"/>
                <c:pt idx="0">
                  <c:v>No.1 Main Cooling S.W.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Sheet1!$L$35:$L$46</c:f>
              <c:numCache>
                <c:formatCode>General</c:formatCode>
                <c:ptCount val="12"/>
                <c:pt idx="0">
                  <c:v>31.3</c:v>
                </c:pt>
                <c:pt idx="2">
                  <c:v>31.36</c:v>
                </c:pt>
              </c:numCache>
            </c:numRef>
          </c:val>
          <c:extLst>
            <c:ext xmlns:c16="http://schemas.microsoft.com/office/drawing/2014/chart" uri="{C3380CC4-5D6E-409C-BE32-E72D297353CC}">
              <c16:uniqueId val="{00000009-045F-4422-959C-A4FA8C645FF7}"/>
            </c:ext>
          </c:extLst>
        </c:ser>
        <c:ser>
          <c:idx val="11"/>
          <c:order val="11"/>
          <c:tx>
            <c:strRef>
              <c:f>Sheet1!$M$33:$M$34</c:f>
              <c:strCache>
                <c:ptCount val="1"/>
                <c:pt idx="0">
                  <c:v>No.1 Main LO Pump </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Sheet1!$M$35:$M$46</c:f>
              <c:numCache>
                <c:formatCode>General</c:formatCode>
                <c:ptCount val="12"/>
                <c:pt idx="0">
                  <c:v>11.38</c:v>
                </c:pt>
                <c:pt idx="2">
                  <c:v>11.5</c:v>
                </c:pt>
                <c:pt idx="4">
                  <c:v>10.72</c:v>
                </c:pt>
              </c:numCache>
            </c:numRef>
          </c:val>
          <c:extLst>
            <c:ext xmlns:c16="http://schemas.microsoft.com/office/drawing/2014/chart" uri="{C3380CC4-5D6E-409C-BE32-E72D297353CC}">
              <c16:uniqueId val="{0000000A-045F-4422-959C-A4FA8C645FF7}"/>
            </c:ext>
          </c:extLst>
        </c:ser>
        <c:ser>
          <c:idx val="12"/>
          <c:order val="12"/>
          <c:tx>
            <c:strRef>
              <c:f>Sheet1!$N$33:$N$34</c:f>
              <c:strCache>
                <c:ptCount val="1"/>
                <c:pt idx="0">
                  <c:v>No.1 Steering Gear</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Sheet1!$N$35:$N$46</c:f>
              <c:numCache>
                <c:formatCode>General</c:formatCode>
                <c:ptCount val="12"/>
                <c:pt idx="0">
                  <c:v>19.82</c:v>
                </c:pt>
                <c:pt idx="1">
                  <c:v>19.88</c:v>
                </c:pt>
                <c:pt idx="2">
                  <c:v>19.98</c:v>
                </c:pt>
                <c:pt idx="3">
                  <c:v>18</c:v>
                </c:pt>
                <c:pt idx="4">
                  <c:v>17.38</c:v>
                </c:pt>
                <c:pt idx="5">
                  <c:v>19.88</c:v>
                </c:pt>
              </c:numCache>
            </c:numRef>
          </c:val>
          <c:extLst>
            <c:ext xmlns:c16="http://schemas.microsoft.com/office/drawing/2014/chart" uri="{C3380CC4-5D6E-409C-BE32-E72D297353CC}">
              <c16:uniqueId val="{0000000B-045F-4422-959C-A4FA8C645FF7}"/>
            </c:ext>
          </c:extLst>
        </c:ser>
        <c:ser>
          <c:idx val="13"/>
          <c:order val="13"/>
          <c:tx>
            <c:strRef>
              <c:f>Sheet1!$O$33:$O$34</c:f>
              <c:strCache>
                <c:ptCount val="1"/>
                <c:pt idx="0">
                  <c:v>No.2 Deck Seal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Sheet1!$O$35:$O$46</c:f>
              <c:numCache>
                <c:formatCode>General</c:formatCode>
                <c:ptCount val="12"/>
                <c:pt idx="1">
                  <c:v>7.6</c:v>
                </c:pt>
                <c:pt idx="4">
                  <c:v>7.51</c:v>
                </c:pt>
                <c:pt idx="5">
                  <c:v>7.6</c:v>
                </c:pt>
              </c:numCache>
            </c:numRef>
          </c:val>
          <c:extLst>
            <c:ext xmlns:c16="http://schemas.microsoft.com/office/drawing/2014/chart" uri="{C3380CC4-5D6E-409C-BE32-E72D297353CC}">
              <c16:uniqueId val="{0000000C-045F-4422-959C-A4FA8C645FF7}"/>
            </c:ext>
          </c:extLst>
        </c:ser>
        <c:ser>
          <c:idx val="14"/>
          <c:order val="14"/>
          <c:tx>
            <c:strRef>
              <c:f>Sheet1!$P$33:$P$34</c:f>
              <c:strCache>
                <c:ptCount val="1"/>
                <c:pt idx="0">
                  <c:v>No.2 G/E L.O. Priming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Sheet1!$P$35:$P$46</c:f>
              <c:numCache>
                <c:formatCode>General</c:formatCode>
                <c:ptCount val="12"/>
                <c:pt idx="0">
                  <c:v>10.32</c:v>
                </c:pt>
                <c:pt idx="1">
                  <c:v>10.36</c:v>
                </c:pt>
                <c:pt idx="2">
                  <c:v>10.42</c:v>
                </c:pt>
                <c:pt idx="3">
                  <c:v>30.2</c:v>
                </c:pt>
                <c:pt idx="4">
                  <c:v>10.76</c:v>
                </c:pt>
                <c:pt idx="5">
                  <c:v>10.36</c:v>
                </c:pt>
              </c:numCache>
            </c:numRef>
          </c:val>
          <c:extLst>
            <c:ext xmlns:c16="http://schemas.microsoft.com/office/drawing/2014/chart" uri="{C3380CC4-5D6E-409C-BE32-E72D297353CC}">
              <c16:uniqueId val="{0000000D-045F-4422-959C-A4FA8C645FF7}"/>
            </c:ext>
          </c:extLst>
        </c:ser>
        <c:ser>
          <c:idx val="15"/>
          <c:order val="15"/>
          <c:tx>
            <c:strRef>
              <c:f>Sheet1!$Q$33:$Q$34</c:f>
              <c:strCache>
                <c:ptCount val="1"/>
                <c:pt idx="0">
                  <c:v>No.2 IGG Blower</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Sheet1!$Q$35:$Q$46</c:f>
              <c:numCache>
                <c:formatCode>General</c:formatCode>
                <c:ptCount val="12"/>
                <c:pt idx="0">
                  <c:v>12.66</c:v>
                </c:pt>
                <c:pt idx="2">
                  <c:v>14.62</c:v>
                </c:pt>
              </c:numCache>
            </c:numRef>
          </c:val>
          <c:extLst>
            <c:ext xmlns:c16="http://schemas.microsoft.com/office/drawing/2014/chart" uri="{C3380CC4-5D6E-409C-BE32-E72D297353CC}">
              <c16:uniqueId val="{0000000E-045F-4422-959C-A4FA8C645FF7}"/>
            </c:ext>
          </c:extLst>
        </c:ser>
        <c:ser>
          <c:idx val="16"/>
          <c:order val="16"/>
          <c:tx>
            <c:strRef>
              <c:f>Sheet1!$R$33:$R$34</c:f>
              <c:strCache>
                <c:ptCount val="1"/>
                <c:pt idx="0">
                  <c:v>No.2 M/E FO Circulating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Sheet1!$R$35:$R$46</c:f>
              <c:numCache>
                <c:formatCode>General</c:formatCode>
                <c:ptCount val="12"/>
                <c:pt idx="0">
                  <c:v>15.4</c:v>
                </c:pt>
                <c:pt idx="2">
                  <c:v>15.46</c:v>
                </c:pt>
                <c:pt idx="3">
                  <c:v>16.5</c:v>
                </c:pt>
                <c:pt idx="4">
                  <c:v>12.63</c:v>
                </c:pt>
              </c:numCache>
            </c:numRef>
          </c:val>
          <c:extLst>
            <c:ext xmlns:c16="http://schemas.microsoft.com/office/drawing/2014/chart" uri="{C3380CC4-5D6E-409C-BE32-E72D297353CC}">
              <c16:uniqueId val="{0000000F-045F-4422-959C-A4FA8C645FF7}"/>
            </c:ext>
          </c:extLst>
        </c:ser>
        <c:ser>
          <c:idx val="17"/>
          <c:order val="17"/>
          <c:tx>
            <c:strRef>
              <c:f>Sheet1!$S$33:$S$34</c:f>
              <c:strCache>
                <c:ptCount val="1"/>
                <c:pt idx="0">
                  <c:v>No.2 Main Air Compressor</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Sheet1!$S$35:$S$46</c:f>
              <c:numCache>
                <c:formatCode>General</c:formatCode>
                <c:ptCount val="12"/>
                <c:pt idx="0">
                  <c:v>50.26</c:v>
                </c:pt>
                <c:pt idx="1">
                  <c:v>50.32</c:v>
                </c:pt>
                <c:pt idx="2">
                  <c:v>50.36</c:v>
                </c:pt>
                <c:pt idx="3">
                  <c:v>50.3</c:v>
                </c:pt>
                <c:pt idx="4">
                  <c:v>47.58</c:v>
                </c:pt>
                <c:pt idx="5">
                  <c:v>50.32</c:v>
                </c:pt>
              </c:numCache>
            </c:numRef>
          </c:val>
          <c:extLst>
            <c:ext xmlns:c16="http://schemas.microsoft.com/office/drawing/2014/chart" uri="{C3380CC4-5D6E-409C-BE32-E72D297353CC}">
              <c16:uniqueId val="{00000010-045F-4422-959C-A4FA8C645FF7}"/>
            </c:ext>
          </c:extLst>
        </c:ser>
        <c:ser>
          <c:idx val="18"/>
          <c:order val="18"/>
          <c:tx>
            <c:strRef>
              <c:f>Sheet1!$T$33:$T$34</c:f>
              <c:strCache>
                <c:ptCount val="1"/>
                <c:pt idx="0">
                  <c:v>No.2 Main Cooling S.W.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Sheet1!$T$35:$T$46</c:f>
              <c:numCache>
                <c:formatCode>General</c:formatCode>
                <c:ptCount val="12"/>
                <c:pt idx="1">
                  <c:v>31.42</c:v>
                </c:pt>
                <c:pt idx="3">
                  <c:v>31</c:v>
                </c:pt>
                <c:pt idx="4">
                  <c:v>30.28</c:v>
                </c:pt>
                <c:pt idx="5">
                  <c:v>31.42</c:v>
                </c:pt>
              </c:numCache>
            </c:numRef>
          </c:val>
          <c:extLst>
            <c:ext xmlns:c16="http://schemas.microsoft.com/office/drawing/2014/chart" uri="{C3380CC4-5D6E-409C-BE32-E72D297353CC}">
              <c16:uniqueId val="{00000011-045F-4422-959C-A4FA8C645FF7}"/>
            </c:ext>
          </c:extLst>
        </c:ser>
        <c:ser>
          <c:idx val="19"/>
          <c:order val="19"/>
          <c:tx>
            <c:strRef>
              <c:f>Sheet1!$U$33:$U$34</c:f>
              <c:strCache>
                <c:ptCount val="1"/>
                <c:pt idx="0">
                  <c:v>No.2 Main LO Pump </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Sheet1!$U$35:$U$46</c:f>
              <c:numCache>
                <c:formatCode>General</c:formatCode>
                <c:ptCount val="12"/>
                <c:pt idx="1">
                  <c:v>3.58</c:v>
                </c:pt>
                <c:pt idx="3">
                  <c:v>9.8000000000000007</c:v>
                </c:pt>
                <c:pt idx="5">
                  <c:v>3.58</c:v>
                </c:pt>
              </c:numCache>
            </c:numRef>
          </c:val>
          <c:extLst>
            <c:ext xmlns:c16="http://schemas.microsoft.com/office/drawing/2014/chart" uri="{C3380CC4-5D6E-409C-BE32-E72D297353CC}">
              <c16:uniqueId val="{00000012-045F-4422-959C-A4FA8C645FF7}"/>
            </c:ext>
          </c:extLst>
        </c:ser>
        <c:ser>
          <c:idx val="20"/>
          <c:order val="20"/>
          <c:tx>
            <c:strRef>
              <c:f>Sheet1!$V$33:$V$34</c:f>
              <c:strCache>
                <c:ptCount val="1"/>
                <c:pt idx="0">
                  <c:v>No.2 Steering Gear</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Sheet1!$V$35:$V$46</c:f>
              <c:numCache>
                <c:formatCode>General</c:formatCode>
                <c:ptCount val="12"/>
                <c:pt idx="0">
                  <c:v>18.84</c:v>
                </c:pt>
                <c:pt idx="1">
                  <c:v>18.920000000000002</c:v>
                </c:pt>
                <c:pt idx="2">
                  <c:v>18.98</c:v>
                </c:pt>
                <c:pt idx="3">
                  <c:v>15</c:v>
                </c:pt>
                <c:pt idx="4">
                  <c:v>17.87</c:v>
                </c:pt>
                <c:pt idx="5">
                  <c:v>18.920000000000002</c:v>
                </c:pt>
              </c:numCache>
            </c:numRef>
          </c:val>
          <c:extLst>
            <c:ext xmlns:c16="http://schemas.microsoft.com/office/drawing/2014/chart" uri="{C3380CC4-5D6E-409C-BE32-E72D297353CC}">
              <c16:uniqueId val="{00000013-045F-4422-959C-A4FA8C645FF7}"/>
            </c:ext>
          </c:extLst>
        </c:ser>
        <c:ser>
          <c:idx val="21"/>
          <c:order val="21"/>
          <c:tx>
            <c:strRef>
              <c:f>Sheet1!$W$33:$W$34</c:f>
              <c:strCache>
                <c:ptCount val="1"/>
                <c:pt idx="0">
                  <c:v>No.3 G/E L.O. Priming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Sheet1!$W$35:$W$46</c:f>
              <c:numCache>
                <c:formatCode>General</c:formatCode>
                <c:ptCount val="12"/>
                <c:pt idx="0">
                  <c:v>10.6</c:v>
                </c:pt>
                <c:pt idx="1">
                  <c:v>10.64</c:v>
                </c:pt>
                <c:pt idx="2">
                  <c:v>10.7</c:v>
                </c:pt>
                <c:pt idx="3">
                  <c:v>10.199999999999999</c:v>
                </c:pt>
                <c:pt idx="4">
                  <c:v>9.56</c:v>
                </c:pt>
                <c:pt idx="5">
                  <c:v>10.64</c:v>
                </c:pt>
              </c:numCache>
            </c:numRef>
          </c:val>
          <c:extLst>
            <c:ext xmlns:c16="http://schemas.microsoft.com/office/drawing/2014/chart" uri="{C3380CC4-5D6E-409C-BE32-E72D297353CC}">
              <c16:uniqueId val="{00000014-045F-4422-959C-A4FA8C645FF7}"/>
            </c:ext>
          </c:extLst>
        </c:ser>
        <c:ser>
          <c:idx val="22"/>
          <c:order val="22"/>
          <c:tx>
            <c:strRef>
              <c:f>Sheet1!$X$33:$X$34</c:f>
              <c:strCache>
                <c:ptCount val="1"/>
                <c:pt idx="0">
                  <c:v>No.3 Main Cooling S.W.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Sheet1!$X$35:$X$46</c:f>
              <c:numCache>
                <c:formatCode>General</c:formatCode>
                <c:ptCount val="12"/>
              </c:numCache>
            </c:numRef>
          </c:val>
          <c:extLst>
            <c:ext xmlns:c16="http://schemas.microsoft.com/office/drawing/2014/chart" uri="{C3380CC4-5D6E-409C-BE32-E72D297353CC}">
              <c16:uniqueId val="{00000015-045F-4422-959C-A4FA8C645FF7}"/>
            </c:ext>
          </c:extLst>
        </c:ser>
        <c:ser>
          <c:idx val="23"/>
          <c:order val="23"/>
          <c:tx>
            <c:strRef>
              <c:f>Sheet1!$Y$33:$Y$34</c:f>
              <c:strCache>
                <c:ptCount val="1"/>
                <c:pt idx="0">
                  <c:v>STP Blower </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Sheet1!$Y$35:$Y$46</c:f>
              <c:numCache>
                <c:formatCode>General</c:formatCode>
                <c:ptCount val="12"/>
                <c:pt idx="0">
                  <c:v>16.46</c:v>
                </c:pt>
                <c:pt idx="1">
                  <c:v>16.5</c:v>
                </c:pt>
                <c:pt idx="2">
                  <c:v>16.54</c:v>
                </c:pt>
                <c:pt idx="3">
                  <c:v>16</c:v>
                </c:pt>
                <c:pt idx="4">
                  <c:v>14.57</c:v>
                </c:pt>
                <c:pt idx="5">
                  <c:v>16.5</c:v>
                </c:pt>
              </c:numCache>
            </c:numRef>
          </c:val>
          <c:extLst>
            <c:ext xmlns:c16="http://schemas.microsoft.com/office/drawing/2014/chart" uri="{C3380CC4-5D6E-409C-BE32-E72D297353CC}">
              <c16:uniqueId val="{00000016-045F-4422-959C-A4FA8C645FF7}"/>
            </c:ext>
          </c:extLst>
        </c:ser>
        <c:ser>
          <c:idx val="24"/>
          <c:order val="24"/>
          <c:tx>
            <c:strRef>
              <c:f>Sheet1!$Z$33:$Z$34</c:f>
              <c:strCache>
                <c:ptCount val="1"/>
                <c:pt idx="0">
                  <c:v>STP Discharge Pump</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Sheet1!$Z$35:$Z$46</c:f>
              <c:numCache>
                <c:formatCode>General</c:formatCode>
                <c:ptCount val="12"/>
                <c:pt idx="0">
                  <c:v>15.44</c:v>
                </c:pt>
                <c:pt idx="1">
                  <c:v>15.6</c:v>
                </c:pt>
                <c:pt idx="2">
                  <c:v>15.64</c:v>
                </c:pt>
                <c:pt idx="3">
                  <c:v>12.5</c:v>
                </c:pt>
                <c:pt idx="4">
                  <c:v>13.93</c:v>
                </c:pt>
                <c:pt idx="5">
                  <c:v>15.6</c:v>
                </c:pt>
              </c:numCache>
            </c:numRef>
          </c:val>
          <c:extLst>
            <c:ext xmlns:c16="http://schemas.microsoft.com/office/drawing/2014/chart" uri="{C3380CC4-5D6E-409C-BE32-E72D297353CC}">
              <c16:uniqueId val="{00000017-045F-4422-959C-A4FA8C645FF7}"/>
            </c:ext>
          </c:extLst>
        </c:ser>
        <c:ser>
          <c:idx val="25"/>
          <c:order val="25"/>
          <c:tx>
            <c:strRef>
              <c:f>Sheet1!$AA$33:$AA$34</c:f>
              <c:strCache>
                <c:ptCount val="1"/>
                <c:pt idx="0">
                  <c:v>STP Ejector Pump #1</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Sheet1!$AA$35:$AA$46</c:f>
              <c:numCache>
                <c:formatCode>General</c:formatCode>
                <c:ptCount val="12"/>
                <c:pt idx="1">
                  <c:v>17.34</c:v>
                </c:pt>
                <c:pt idx="3">
                  <c:v>24</c:v>
                </c:pt>
                <c:pt idx="4">
                  <c:v>25.8</c:v>
                </c:pt>
                <c:pt idx="5">
                  <c:v>17.34</c:v>
                </c:pt>
              </c:numCache>
            </c:numRef>
          </c:val>
          <c:extLst>
            <c:ext xmlns:c16="http://schemas.microsoft.com/office/drawing/2014/chart" uri="{C3380CC4-5D6E-409C-BE32-E72D297353CC}">
              <c16:uniqueId val="{00000018-045F-4422-959C-A4FA8C645FF7}"/>
            </c:ext>
          </c:extLst>
        </c:ser>
        <c:ser>
          <c:idx val="26"/>
          <c:order val="26"/>
          <c:tx>
            <c:strRef>
              <c:f>Sheet1!$AB$33:$AB$34</c:f>
              <c:strCache>
                <c:ptCount val="1"/>
                <c:pt idx="0">
                  <c:v>STP Ejector Pump #2</c:v>
                </c:pt>
              </c:strCache>
            </c:strRef>
          </c:tx>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Sheet1!$AB$35:$AB$46</c:f>
              <c:numCache>
                <c:formatCode>General</c:formatCode>
                <c:ptCount val="12"/>
                <c:pt idx="0">
                  <c:v>14.42</c:v>
                </c:pt>
                <c:pt idx="2">
                  <c:v>14.48</c:v>
                </c:pt>
                <c:pt idx="4">
                  <c:v>24.43</c:v>
                </c:pt>
              </c:numCache>
            </c:numRef>
          </c:val>
          <c:extLst>
            <c:ext xmlns:c16="http://schemas.microsoft.com/office/drawing/2014/chart" uri="{C3380CC4-5D6E-409C-BE32-E72D297353CC}">
              <c16:uniqueId val="{00000019-045F-4422-959C-A4FA8C645FF7}"/>
            </c:ext>
          </c:extLst>
        </c:ser>
        <c:dLbls>
          <c:showLegendKey val="0"/>
          <c:showVal val="0"/>
          <c:showCatName val="0"/>
          <c:showSerName val="0"/>
          <c:showPercent val="0"/>
          <c:showBubbleSize val="0"/>
        </c:dLbls>
        <c:gapWidth val="219"/>
        <c:overlap val="-27"/>
        <c:axId val="43463808"/>
        <c:axId val="43465344"/>
      </c:barChart>
      <c:catAx>
        <c:axId val="4346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5344"/>
        <c:crosses val="autoZero"/>
        <c:auto val="1"/>
        <c:lblAlgn val="ctr"/>
        <c:lblOffset val="100"/>
        <c:noMultiLvlLbl val="0"/>
      </c:catAx>
      <c:valAx>
        <c:axId val="4346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 Monitoring of Electrical Motors JUNE 2026.xlsx]Sheet1!PivotTable1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No.1 Main Air Compressor</c:v>
                </c:pt>
              </c:strCache>
            </c:strRef>
          </c:tx>
          <c:spPr>
            <a:solidFill>
              <a:schemeClr val="accent1"/>
            </a:solidFill>
            <a:ln>
              <a:noFill/>
            </a:ln>
            <a:effectLst/>
          </c:spPr>
          <c:invertIfNegative val="0"/>
          <c:cat>
            <c:strRef>
              <c:f>Sheet1!$A$5:$A$16</c:f>
              <c:strCache>
                <c:ptCount val="12"/>
                <c:pt idx="0">
                  <c:v>Jan-Vel </c:v>
                </c:pt>
                <c:pt idx="1">
                  <c:v>Feb-Vel </c:v>
                </c:pt>
                <c:pt idx="2">
                  <c:v>Mar-Vel </c:v>
                </c:pt>
                <c:pt idx="3">
                  <c:v>Apr-Vel </c:v>
                </c:pt>
                <c:pt idx="4">
                  <c:v>May-Vel </c:v>
                </c:pt>
                <c:pt idx="5">
                  <c:v>Jun-Vel </c:v>
                </c:pt>
                <c:pt idx="6">
                  <c:v>Jul-Vel </c:v>
                </c:pt>
                <c:pt idx="7">
                  <c:v>Aug-Vel </c:v>
                </c:pt>
                <c:pt idx="8">
                  <c:v>Sep-Vel </c:v>
                </c:pt>
                <c:pt idx="9">
                  <c:v>Oct-Vel </c:v>
                </c:pt>
                <c:pt idx="10">
                  <c:v>Nov-Vel </c:v>
                </c:pt>
                <c:pt idx="11">
                  <c:v>Dec-Vel </c:v>
                </c:pt>
              </c:strCache>
            </c:strRef>
          </c:cat>
          <c:val>
            <c:numRef>
              <c:f>Sheet1!$B$5:$B$16</c:f>
              <c:numCache>
                <c:formatCode>General</c:formatCode>
                <c:ptCount val="12"/>
                <c:pt idx="0">
                  <c:v>9.94</c:v>
                </c:pt>
                <c:pt idx="1">
                  <c:v>9.98</c:v>
                </c:pt>
                <c:pt idx="2">
                  <c:v>10</c:v>
                </c:pt>
                <c:pt idx="3">
                  <c:v>9.5</c:v>
                </c:pt>
                <c:pt idx="4">
                  <c:v>9.5399999999999991</c:v>
                </c:pt>
                <c:pt idx="5">
                  <c:v>9.98</c:v>
                </c:pt>
              </c:numCache>
            </c:numRef>
          </c:val>
          <c:extLst>
            <c:ext xmlns:c16="http://schemas.microsoft.com/office/drawing/2014/chart" uri="{C3380CC4-5D6E-409C-BE32-E72D297353CC}">
              <c16:uniqueId val="{00000000-D147-4FC3-ADB3-919730601E8C}"/>
            </c:ext>
          </c:extLst>
        </c:ser>
        <c:dLbls>
          <c:showLegendKey val="0"/>
          <c:showVal val="0"/>
          <c:showCatName val="0"/>
          <c:showSerName val="0"/>
          <c:showPercent val="0"/>
          <c:showBubbleSize val="0"/>
        </c:dLbls>
        <c:gapWidth val="219"/>
        <c:overlap val="-27"/>
        <c:axId val="44167936"/>
        <c:axId val="44169472"/>
      </c:barChart>
      <c:catAx>
        <c:axId val="4416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9472"/>
        <c:crosses val="autoZero"/>
        <c:auto val="1"/>
        <c:lblAlgn val="ctr"/>
        <c:lblOffset val="100"/>
        <c:noMultiLvlLbl val="0"/>
      </c:catAx>
      <c:valAx>
        <c:axId val="4416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 Monitoring of Electrical Motors JUNE 2026.xlsx]Sheet1!PivotTable2</c:name>
    <c:fmtId val="7"/>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Sheet1!$B$33:$B$34</c:f>
              <c:strCache>
                <c:ptCount val="1"/>
                <c:pt idx="0">
                  <c:v>Economiser Feed water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Sheet1!$B$35:$B$46</c:f>
              <c:numCache>
                <c:formatCode>General</c:formatCode>
                <c:ptCount val="12"/>
              </c:numCache>
            </c:numRef>
          </c:val>
          <c:extLst>
            <c:ext xmlns:c16="http://schemas.microsoft.com/office/drawing/2014/chart" uri="{C3380CC4-5D6E-409C-BE32-E72D297353CC}">
              <c16:uniqueId val="{00000000-B764-4C96-AABA-0EB0E1F30EB9}"/>
            </c:ext>
          </c:extLst>
        </c:ser>
        <c:ser>
          <c:idx val="1"/>
          <c:order val="1"/>
          <c:tx>
            <c:strRef>
              <c:f>Sheet1!$C$33:$C$34</c:f>
              <c:strCache>
                <c:ptCount val="1"/>
                <c:pt idx="0">
                  <c:v>FWG Ejector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Sheet1!$C$35:$C$46</c:f>
              <c:numCache>
                <c:formatCode>General</c:formatCode>
                <c:ptCount val="12"/>
                <c:pt idx="0">
                  <c:v>38.5</c:v>
                </c:pt>
                <c:pt idx="1">
                  <c:v>38.6</c:v>
                </c:pt>
                <c:pt idx="2">
                  <c:v>38.68</c:v>
                </c:pt>
                <c:pt idx="3">
                  <c:v>26.2</c:v>
                </c:pt>
                <c:pt idx="4">
                  <c:v>38.28</c:v>
                </c:pt>
                <c:pt idx="5">
                  <c:v>38.6</c:v>
                </c:pt>
              </c:numCache>
            </c:numRef>
          </c:val>
          <c:extLst>
            <c:ext xmlns:c16="http://schemas.microsoft.com/office/drawing/2014/chart" uri="{C3380CC4-5D6E-409C-BE32-E72D297353CC}">
              <c16:uniqueId val="{00000000-BF42-4346-9E94-351EDB518B79}"/>
            </c:ext>
          </c:extLst>
        </c:ser>
        <c:ser>
          <c:idx val="2"/>
          <c:order val="2"/>
          <c:tx>
            <c:strRef>
              <c:f>Sheet1!$D$33:$D$34</c:f>
              <c:strCache>
                <c:ptCount val="1"/>
                <c:pt idx="0">
                  <c:v>IGG Scrubber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Sheet1!$D$35:$D$46</c:f>
              <c:numCache>
                <c:formatCode>General</c:formatCode>
                <c:ptCount val="12"/>
                <c:pt idx="0">
                  <c:v>37.520000000000003</c:v>
                </c:pt>
                <c:pt idx="1">
                  <c:v>37.6</c:v>
                </c:pt>
                <c:pt idx="2">
                  <c:v>37.700000000000003</c:v>
                </c:pt>
                <c:pt idx="3">
                  <c:v>31</c:v>
                </c:pt>
                <c:pt idx="4">
                  <c:v>30.28</c:v>
                </c:pt>
                <c:pt idx="5">
                  <c:v>37.6</c:v>
                </c:pt>
              </c:numCache>
            </c:numRef>
          </c:val>
          <c:extLst>
            <c:ext xmlns:c16="http://schemas.microsoft.com/office/drawing/2014/chart" uri="{C3380CC4-5D6E-409C-BE32-E72D297353CC}">
              <c16:uniqueId val="{00000001-BF42-4346-9E94-351EDB518B79}"/>
            </c:ext>
          </c:extLst>
        </c:ser>
        <c:ser>
          <c:idx val="3"/>
          <c:order val="3"/>
          <c:tx>
            <c:strRef>
              <c:f>Sheet1!$E$33:$E$34</c:f>
              <c:strCache>
                <c:ptCount val="1"/>
                <c:pt idx="0">
                  <c:v>Incinerator Blower Motor</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Sheet1!$E$35:$E$46</c:f>
              <c:numCache>
                <c:formatCode>General</c:formatCode>
                <c:ptCount val="12"/>
                <c:pt idx="0">
                  <c:v>11.72</c:v>
                </c:pt>
                <c:pt idx="1">
                  <c:v>11.8</c:v>
                </c:pt>
                <c:pt idx="2">
                  <c:v>11.85</c:v>
                </c:pt>
                <c:pt idx="3">
                  <c:v>6.3</c:v>
                </c:pt>
                <c:pt idx="4">
                  <c:v>9.51</c:v>
                </c:pt>
                <c:pt idx="5">
                  <c:v>11.8</c:v>
                </c:pt>
              </c:numCache>
            </c:numRef>
          </c:val>
          <c:extLst>
            <c:ext xmlns:c16="http://schemas.microsoft.com/office/drawing/2014/chart" uri="{C3380CC4-5D6E-409C-BE32-E72D297353CC}">
              <c16:uniqueId val="{00000002-BF42-4346-9E94-351EDB518B79}"/>
            </c:ext>
          </c:extLst>
        </c:ser>
        <c:ser>
          <c:idx val="4"/>
          <c:order val="4"/>
          <c:tx>
            <c:strRef>
              <c:f>Sheet1!$F$33:$F$34</c:f>
              <c:strCache>
                <c:ptCount val="1"/>
                <c:pt idx="0">
                  <c:v>Incinerator Flue Gas Fan</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Sheet1!$F$35:$F$46</c:f>
              <c:numCache>
                <c:formatCode>General</c:formatCode>
                <c:ptCount val="12"/>
                <c:pt idx="0">
                  <c:v>10.6</c:v>
                </c:pt>
                <c:pt idx="1">
                  <c:v>12.7</c:v>
                </c:pt>
                <c:pt idx="2">
                  <c:v>12.8</c:v>
                </c:pt>
                <c:pt idx="4">
                  <c:v>9.14</c:v>
                </c:pt>
                <c:pt idx="5">
                  <c:v>12.7</c:v>
                </c:pt>
              </c:numCache>
            </c:numRef>
          </c:val>
          <c:extLst>
            <c:ext xmlns:c16="http://schemas.microsoft.com/office/drawing/2014/chart" uri="{C3380CC4-5D6E-409C-BE32-E72D297353CC}">
              <c16:uniqueId val="{00000003-BF42-4346-9E94-351EDB518B79}"/>
            </c:ext>
          </c:extLst>
        </c:ser>
        <c:ser>
          <c:idx val="5"/>
          <c:order val="5"/>
          <c:tx>
            <c:strRef>
              <c:f>Sheet1!$G$33:$G$34</c:f>
              <c:strCache>
                <c:ptCount val="1"/>
                <c:pt idx="0">
                  <c:v>No.1 Deck Seal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Sheet1!$G$35:$G$46</c:f>
              <c:numCache>
                <c:formatCode>General</c:formatCode>
                <c:ptCount val="12"/>
                <c:pt idx="0">
                  <c:v>7.9</c:v>
                </c:pt>
                <c:pt idx="2">
                  <c:v>8.07</c:v>
                </c:pt>
                <c:pt idx="3">
                  <c:v>8.4</c:v>
                </c:pt>
              </c:numCache>
            </c:numRef>
          </c:val>
          <c:extLst>
            <c:ext xmlns:c16="http://schemas.microsoft.com/office/drawing/2014/chart" uri="{C3380CC4-5D6E-409C-BE32-E72D297353CC}">
              <c16:uniqueId val="{00000004-BF42-4346-9E94-351EDB518B79}"/>
            </c:ext>
          </c:extLst>
        </c:ser>
        <c:ser>
          <c:idx val="6"/>
          <c:order val="6"/>
          <c:tx>
            <c:strRef>
              <c:f>Sheet1!$H$33:$H$34</c:f>
              <c:strCache>
                <c:ptCount val="1"/>
                <c:pt idx="0">
                  <c:v>No.1 G/E L.O. Priming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Sheet1!$H$35:$H$46</c:f>
              <c:numCache>
                <c:formatCode>General</c:formatCode>
                <c:ptCount val="12"/>
                <c:pt idx="0">
                  <c:v>10.62</c:v>
                </c:pt>
                <c:pt idx="1">
                  <c:v>10.66</c:v>
                </c:pt>
                <c:pt idx="2">
                  <c:v>10.72</c:v>
                </c:pt>
                <c:pt idx="3">
                  <c:v>10.5</c:v>
                </c:pt>
                <c:pt idx="4">
                  <c:v>10.76</c:v>
                </c:pt>
                <c:pt idx="5">
                  <c:v>10.66</c:v>
                </c:pt>
              </c:numCache>
            </c:numRef>
          </c:val>
          <c:extLst>
            <c:ext xmlns:c16="http://schemas.microsoft.com/office/drawing/2014/chart" uri="{C3380CC4-5D6E-409C-BE32-E72D297353CC}">
              <c16:uniqueId val="{00000005-BF42-4346-9E94-351EDB518B79}"/>
            </c:ext>
          </c:extLst>
        </c:ser>
        <c:ser>
          <c:idx val="7"/>
          <c:order val="7"/>
          <c:tx>
            <c:strRef>
              <c:f>Sheet1!$I$33:$I$34</c:f>
              <c:strCache>
                <c:ptCount val="1"/>
                <c:pt idx="0">
                  <c:v>No.1 IGG Blower</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Sheet1!$I$35:$I$46</c:f>
              <c:numCache>
                <c:formatCode>General</c:formatCode>
                <c:ptCount val="12"/>
                <c:pt idx="1">
                  <c:v>8.6999999999999993</c:v>
                </c:pt>
                <c:pt idx="3">
                  <c:v>15</c:v>
                </c:pt>
                <c:pt idx="4">
                  <c:v>9.1199999999999992</c:v>
                </c:pt>
                <c:pt idx="5">
                  <c:v>8.6999999999999993</c:v>
                </c:pt>
              </c:numCache>
            </c:numRef>
          </c:val>
          <c:extLst>
            <c:ext xmlns:c16="http://schemas.microsoft.com/office/drawing/2014/chart" uri="{C3380CC4-5D6E-409C-BE32-E72D297353CC}">
              <c16:uniqueId val="{00000006-BF42-4346-9E94-351EDB518B79}"/>
            </c:ext>
          </c:extLst>
        </c:ser>
        <c:ser>
          <c:idx val="8"/>
          <c:order val="8"/>
          <c:tx>
            <c:strRef>
              <c:f>Sheet1!$J$33:$J$34</c:f>
              <c:strCache>
                <c:ptCount val="1"/>
                <c:pt idx="0">
                  <c:v>No.1 M/E FO Circulating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Sheet1!$J$35:$J$46</c:f>
              <c:numCache>
                <c:formatCode>General</c:formatCode>
                <c:ptCount val="12"/>
                <c:pt idx="1">
                  <c:v>6.34</c:v>
                </c:pt>
                <c:pt idx="4">
                  <c:v>13.42</c:v>
                </c:pt>
                <c:pt idx="5">
                  <c:v>6.34</c:v>
                </c:pt>
              </c:numCache>
            </c:numRef>
          </c:val>
          <c:extLst>
            <c:ext xmlns:c16="http://schemas.microsoft.com/office/drawing/2014/chart" uri="{C3380CC4-5D6E-409C-BE32-E72D297353CC}">
              <c16:uniqueId val="{00000007-BF42-4346-9E94-351EDB518B79}"/>
            </c:ext>
          </c:extLst>
        </c:ser>
        <c:ser>
          <c:idx val="9"/>
          <c:order val="9"/>
          <c:tx>
            <c:strRef>
              <c:f>Sheet1!$K$33:$K$34</c:f>
              <c:strCache>
                <c:ptCount val="1"/>
                <c:pt idx="0">
                  <c:v>No.1 Main Air Compressor</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Sheet1!$K$35:$K$46</c:f>
              <c:numCache>
                <c:formatCode>General</c:formatCode>
                <c:ptCount val="12"/>
                <c:pt idx="0">
                  <c:v>46.9</c:v>
                </c:pt>
                <c:pt idx="1">
                  <c:v>47.3</c:v>
                </c:pt>
                <c:pt idx="2">
                  <c:v>47.34</c:v>
                </c:pt>
                <c:pt idx="3">
                  <c:v>46.25</c:v>
                </c:pt>
                <c:pt idx="4">
                  <c:v>44.75</c:v>
                </c:pt>
                <c:pt idx="5">
                  <c:v>47.3</c:v>
                </c:pt>
              </c:numCache>
            </c:numRef>
          </c:val>
          <c:extLst>
            <c:ext xmlns:c16="http://schemas.microsoft.com/office/drawing/2014/chart" uri="{C3380CC4-5D6E-409C-BE32-E72D297353CC}">
              <c16:uniqueId val="{00000008-BF42-4346-9E94-351EDB518B79}"/>
            </c:ext>
          </c:extLst>
        </c:ser>
        <c:ser>
          <c:idx val="10"/>
          <c:order val="10"/>
          <c:tx>
            <c:strRef>
              <c:f>Sheet1!$L$33:$L$34</c:f>
              <c:strCache>
                <c:ptCount val="1"/>
                <c:pt idx="0">
                  <c:v>No.1 Main Cooling S.W.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Sheet1!$L$35:$L$46</c:f>
              <c:numCache>
                <c:formatCode>General</c:formatCode>
                <c:ptCount val="12"/>
                <c:pt idx="0">
                  <c:v>31.3</c:v>
                </c:pt>
                <c:pt idx="2">
                  <c:v>31.36</c:v>
                </c:pt>
              </c:numCache>
            </c:numRef>
          </c:val>
          <c:extLst>
            <c:ext xmlns:c16="http://schemas.microsoft.com/office/drawing/2014/chart" uri="{C3380CC4-5D6E-409C-BE32-E72D297353CC}">
              <c16:uniqueId val="{00000009-BF42-4346-9E94-351EDB518B79}"/>
            </c:ext>
          </c:extLst>
        </c:ser>
        <c:ser>
          <c:idx val="11"/>
          <c:order val="11"/>
          <c:tx>
            <c:strRef>
              <c:f>Sheet1!$M$33:$M$34</c:f>
              <c:strCache>
                <c:ptCount val="1"/>
                <c:pt idx="0">
                  <c:v>No.1 Main LO Pump </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Sheet1!$M$35:$M$46</c:f>
              <c:numCache>
                <c:formatCode>General</c:formatCode>
                <c:ptCount val="12"/>
                <c:pt idx="0">
                  <c:v>11.38</c:v>
                </c:pt>
                <c:pt idx="2">
                  <c:v>11.5</c:v>
                </c:pt>
                <c:pt idx="4">
                  <c:v>10.72</c:v>
                </c:pt>
              </c:numCache>
            </c:numRef>
          </c:val>
          <c:extLst>
            <c:ext xmlns:c16="http://schemas.microsoft.com/office/drawing/2014/chart" uri="{C3380CC4-5D6E-409C-BE32-E72D297353CC}">
              <c16:uniqueId val="{0000000A-BF42-4346-9E94-351EDB518B79}"/>
            </c:ext>
          </c:extLst>
        </c:ser>
        <c:ser>
          <c:idx val="12"/>
          <c:order val="12"/>
          <c:tx>
            <c:strRef>
              <c:f>Sheet1!$N$33:$N$34</c:f>
              <c:strCache>
                <c:ptCount val="1"/>
                <c:pt idx="0">
                  <c:v>No.1 Steering Gear</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Sheet1!$N$35:$N$46</c:f>
              <c:numCache>
                <c:formatCode>General</c:formatCode>
                <c:ptCount val="12"/>
                <c:pt idx="0">
                  <c:v>19.82</c:v>
                </c:pt>
                <c:pt idx="1">
                  <c:v>19.88</c:v>
                </c:pt>
                <c:pt idx="2">
                  <c:v>19.98</c:v>
                </c:pt>
                <c:pt idx="3">
                  <c:v>18</c:v>
                </c:pt>
                <c:pt idx="4">
                  <c:v>17.38</c:v>
                </c:pt>
                <c:pt idx="5">
                  <c:v>19.88</c:v>
                </c:pt>
              </c:numCache>
            </c:numRef>
          </c:val>
          <c:extLst>
            <c:ext xmlns:c16="http://schemas.microsoft.com/office/drawing/2014/chart" uri="{C3380CC4-5D6E-409C-BE32-E72D297353CC}">
              <c16:uniqueId val="{0000000B-BF42-4346-9E94-351EDB518B79}"/>
            </c:ext>
          </c:extLst>
        </c:ser>
        <c:ser>
          <c:idx val="13"/>
          <c:order val="13"/>
          <c:tx>
            <c:strRef>
              <c:f>Sheet1!$O$33:$O$34</c:f>
              <c:strCache>
                <c:ptCount val="1"/>
                <c:pt idx="0">
                  <c:v>No.2 Deck Seal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Sheet1!$O$35:$O$46</c:f>
              <c:numCache>
                <c:formatCode>General</c:formatCode>
                <c:ptCount val="12"/>
                <c:pt idx="1">
                  <c:v>7.6</c:v>
                </c:pt>
                <c:pt idx="4">
                  <c:v>7.51</c:v>
                </c:pt>
                <c:pt idx="5">
                  <c:v>7.6</c:v>
                </c:pt>
              </c:numCache>
            </c:numRef>
          </c:val>
          <c:extLst>
            <c:ext xmlns:c16="http://schemas.microsoft.com/office/drawing/2014/chart" uri="{C3380CC4-5D6E-409C-BE32-E72D297353CC}">
              <c16:uniqueId val="{0000000C-BF42-4346-9E94-351EDB518B79}"/>
            </c:ext>
          </c:extLst>
        </c:ser>
        <c:ser>
          <c:idx val="14"/>
          <c:order val="14"/>
          <c:tx>
            <c:strRef>
              <c:f>Sheet1!$P$33:$P$34</c:f>
              <c:strCache>
                <c:ptCount val="1"/>
                <c:pt idx="0">
                  <c:v>No.2 G/E L.O. Priming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Sheet1!$P$35:$P$46</c:f>
              <c:numCache>
                <c:formatCode>General</c:formatCode>
                <c:ptCount val="12"/>
                <c:pt idx="0">
                  <c:v>10.32</c:v>
                </c:pt>
                <c:pt idx="1">
                  <c:v>10.36</c:v>
                </c:pt>
                <c:pt idx="2">
                  <c:v>10.42</c:v>
                </c:pt>
                <c:pt idx="3">
                  <c:v>30.2</c:v>
                </c:pt>
                <c:pt idx="4">
                  <c:v>10.76</c:v>
                </c:pt>
                <c:pt idx="5">
                  <c:v>10.36</c:v>
                </c:pt>
              </c:numCache>
            </c:numRef>
          </c:val>
          <c:extLst>
            <c:ext xmlns:c16="http://schemas.microsoft.com/office/drawing/2014/chart" uri="{C3380CC4-5D6E-409C-BE32-E72D297353CC}">
              <c16:uniqueId val="{0000000D-BF42-4346-9E94-351EDB518B79}"/>
            </c:ext>
          </c:extLst>
        </c:ser>
        <c:ser>
          <c:idx val="15"/>
          <c:order val="15"/>
          <c:tx>
            <c:strRef>
              <c:f>Sheet1!$Q$33:$Q$34</c:f>
              <c:strCache>
                <c:ptCount val="1"/>
                <c:pt idx="0">
                  <c:v>No.2 IGG Blower</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Sheet1!$Q$35:$Q$46</c:f>
              <c:numCache>
                <c:formatCode>General</c:formatCode>
                <c:ptCount val="12"/>
                <c:pt idx="0">
                  <c:v>12.66</c:v>
                </c:pt>
                <c:pt idx="2">
                  <c:v>14.62</c:v>
                </c:pt>
              </c:numCache>
            </c:numRef>
          </c:val>
          <c:extLst>
            <c:ext xmlns:c16="http://schemas.microsoft.com/office/drawing/2014/chart" uri="{C3380CC4-5D6E-409C-BE32-E72D297353CC}">
              <c16:uniqueId val="{0000000E-BF42-4346-9E94-351EDB518B79}"/>
            </c:ext>
          </c:extLst>
        </c:ser>
        <c:ser>
          <c:idx val="16"/>
          <c:order val="16"/>
          <c:tx>
            <c:strRef>
              <c:f>Sheet1!$R$33:$R$34</c:f>
              <c:strCache>
                <c:ptCount val="1"/>
                <c:pt idx="0">
                  <c:v>No.2 M/E FO Circulating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Sheet1!$R$35:$R$46</c:f>
              <c:numCache>
                <c:formatCode>General</c:formatCode>
                <c:ptCount val="12"/>
                <c:pt idx="0">
                  <c:v>15.4</c:v>
                </c:pt>
                <c:pt idx="2">
                  <c:v>15.46</c:v>
                </c:pt>
                <c:pt idx="3">
                  <c:v>16.5</c:v>
                </c:pt>
                <c:pt idx="4">
                  <c:v>12.63</c:v>
                </c:pt>
              </c:numCache>
            </c:numRef>
          </c:val>
          <c:extLst>
            <c:ext xmlns:c16="http://schemas.microsoft.com/office/drawing/2014/chart" uri="{C3380CC4-5D6E-409C-BE32-E72D297353CC}">
              <c16:uniqueId val="{0000000F-BF42-4346-9E94-351EDB518B79}"/>
            </c:ext>
          </c:extLst>
        </c:ser>
        <c:ser>
          <c:idx val="17"/>
          <c:order val="17"/>
          <c:tx>
            <c:strRef>
              <c:f>Sheet1!$S$33:$S$34</c:f>
              <c:strCache>
                <c:ptCount val="1"/>
                <c:pt idx="0">
                  <c:v>No.2 Main Air Compressor</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Sheet1!$S$35:$S$46</c:f>
              <c:numCache>
                <c:formatCode>General</c:formatCode>
                <c:ptCount val="12"/>
                <c:pt idx="0">
                  <c:v>50.26</c:v>
                </c:pt>
                <c:pt idx="1">
                  <c:v>50.32</c:v>
                </c:pt>
                <c:pt idx="2">
                  <c:v>50.36</c:v>
                </c:pt>
                <c:pt idx="3">
                  <c:v>50.3</c:v>
                </c:pt>
                <c:pt idx="4">
                  <c:v>47.58</c:v>
                </c:pt>
                <c:pt idx="5">
                  <c:v>50.32</c:v>
                </c:pt>
              </c:numCache>
            </c:numRef>
          </c:val>
          <c:extLst>
            <c:ext xmlns:c16="http://schemas.microsoft.com/office/drawing/2014/chart" uri="{C3380CC4-5D6E-409C-BE32-E72D297353CC}">
              <c16:uniqueId val="{00000010-BF42-4346-9E94-351EDB518B79}"/>
            </c:ext>
          </c:extLst>
        </c:ser>
        <c:ser>
          <c:idx val="18"/>
          <c:order val="18"/>
          <c:tx>
            <c:strRef>
              <c:f>Sheet1!$T$33:$T$34</c:f>
              <c:strCache>
                <c:ptCount val="1"/>
                <c:pt idx="0">
                  <c:v>No.2 Main Cooling S.W.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Sheet1!$T$35:$T$46</c:f>
              <c:numCache>
                <c:formatCode>General</c:formatCode>
                <c:ptCount val="12"/>
                <c:pt idx="1">
                  <c:v>31.42</c:v>
                </c:pt>
                <c:pt idx="3">
                  <c:v>31</c:v>
                </c:pt>
                <c:pt idx="4">
                  <c:v>30.28</c:v>
                </c:pt>
                <c:pt idx="5">
                  <c:v>31.42</c:v>
                </c:pt>
              </c:numCache>
            </c:numRef>
          </c:val>
          <c:extLst>
            <c:ext xmlns:c16="http://schemas.microsoft.com/office/drawing/2014/chart" uri="{C3380CC4-5D6E-409C-BE32-E72D297353CC}">
              <c16:uniqueId val="{00000011-BF42-4346-9E94-351EDB518B79}"/>
            </c:ext>
          </c:extLst>
        </c:ser>
        <c:ser>
          <c:idx val="19"/>
          <c:order val="19"/>
          <c:tx>
            <c:strRef>
              <c:f>Sheet1!$U$33:$U$34</c:f>
              <c:strCache>
                <c:ptCount val="1"/>
                <c:pt idx="0">
                  <c:v>No.2 Main LO Pump </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Sheet1!$U$35:$U$46</c:f>
              <c:numCache>
                <c:formatCode>General</c:formatCode>
                <c:ptCount val="12"/>
                <c:pt idx="1">
                  <c:v>3.58</c:v>
                </c:pt>
                <c:pt idx="3">
                  <c:v>9.8000000000000007</c:v>
                </c:pt>
                <c:pt idx="5">
                  <c:v>3.58</c:v>
                </c:pt>
              </c:numCache>
            </c:numRef>
          </c:val>
          <c:extLst>
            <c:ext xmlns:c16="http://schemas.microsoft.com/office/drawing/2014/chart" uri="{C3380CC4-5D6E-409C-BE32-E72D297353CC}">
              <c16:uniqueId val="{00000012-BF42-4346-9E94-351EDB518B79}"/>
            </c:ext>
          </c:extLst>
        </c:ser>
        <c:ser>
          <c:idx val="20"/>
          <c:order val="20"/>
          <c:tx>
            <c:strRef>
              <c:f>Sheet1!$V$33:$V$34</c:f>
              <c:strCache>
                <c:ptCount val="1"/>
                <c:pt idx="0">
                  <c:v>No.2 Steering Gear</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Sheet1!$V$35:$V$46</c:f>
              <c:numCache>
                <c:formatCode>General</c:formatCode>
                <c:ptCount val="12"/>
                <c:pt idx="0">
                  <c:v>18.84</c:v>
                </c:pt>
                <c:pt idx="1">
                  <c:v>18.920000000000002</c:v>
                </c:pt>
                <c:pt idx="2">
                  <c:v>18.98</c:v>
                </c:pt>
                <c:pt idx="3">
                  <c:v>15</c:v>
                </c:pt>
                <c:pt idx="4">
                  <c:v>17.87</c:v>
                </c:pt>
                <c:pt idx="5">
                  <c:v>18.920000000000002</c:v>
                </c:pt>
              </c:numCache>
            </c:numRef>
          </c:val>
          <c:extLst>
            <c:ext xmlns:c16="http://schemas.microsoft.com/office/drawing/2014/chart" uri="{C3380CC4-5D6E-409C-BE32-E72D297353CC}">
              <c16:uniqueId val="{00000013-BF42-4346-9E94-351EDB518B79}"/>
            </c:ext>
          </c:extLst>
        </c:ser>
        <c:ser>
          <c:idx val="21"/>
          <c:order val="21"/>
          <c:tx>
            <c:strRef>
              <c:f>Sheet1!$W$33:$W$34</c:f>
              <c:strCache>
                <c:ptCount val="1"/>
                <c:pt idx="0">
                  <c:v>No.3 G/E L.O. Priming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Sheet1!$W$35:$W$46</c:f>
              <c:numCache>
                <c:formatCode>General</c:formatCode>
                <c:ptCount val="12"/>
                <c:pt idx="0">
                  <c:v>10.6</c:v>
                </c:pt>
                <c:pt idx="1">
                  <c:v>10.64</c:v>
                </c:pt>
                <c:pt idx="2">
                  <c:v>10.7</c:v>
                </c:pt>
                <c:pt idx="3">
                  <c:v>10.199999999999999</c:v>
                </c:pt>
                <c:pt idx="4">
                  <c:v>9.56</c:v>
                </c:pt>
                <c:pt idx="5">
                  <c:v>10.64</c:v>
                </c:pt>
              </c:numCache>
            </c:numRef>
          </c:val>
          <c:extLst>
            <c:ext xmlns:c16="http://schemas.microsoft.com/office/drawing/2014/chart" uri="{C3380CC4-5D6E-409C-BE32-E72D297353CC}">
              <c16:uniqueId val="{00000014-BF42-4346-9E94-351EDB518B79}"/>
            </c:ext>
          </c:extLst>
        </c:ser>
        <c:ser>
          <c:idx val="22"/>
          <c:order val="22"/>
          <c:tx>
            <c:strRef>
              <c:f>Sheet1!$X$33:$X$34</c:f>
              <c:strCache>
                <c:ptCount val="1"/>
                <c:pt idx="0">
                  <c:v>No.3 Main Cooling S.W.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Sheet1!$X$35:$X$46</c:f>
              <c:numCache>
                <c:formatCode>General</c:formatCode>
                <c:ptCount val="12"/>
              </c:numCache>
            </c:numRef>
          </c:val>
          <c:extLst>
            <c:ext xmlns:c16="http://schemas.microsoft.com/office/drawing/2014/chart" uri="{C3380CC4-5D6E-409C-BE32-E72D297353CC}">
              <c16:uniqueId val="{00000015-BF42-4346-9E94-351EDB518B79}"/>
            </c:ext>
          </c:extLst>
        </c:ser>
        <c:ser>
          <c:idx val="23"/>
          <c:order val="23"/>
          <c:tx>
            <c:strRef>
              <c:f>Sheet1!$Y$33:$Y$34</c:f>
              <c:strCache>
                <c:ptCount val="1"/>
                <c:pt idx="0">
                  <c:v>STP Blower </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Sheet1!$Y$35:$Y$46</c:f>
              <c:numCache>
                <c:formatCode>General</c:formatCode>
                <c:ptCount val="12"/>
                <c:pt idx="0">
                  <c:v>16.46</c:v>
                </c:pt>
                <c:pt idx="1">
                  <c:v>16.5</c:v>
                </c:pt>
                <c:pt idx="2">
                  <c:v>16.54</c:v>
                </c:pt>
                <c:pt idx="3">
                  <c:v>16</c:v>
                </c:pt>
                <c:pt idx="4">
                  <c:v>14.57</c:v>
                </c:pt>
                <c:pt idx="5">
                  <c:v>16.5</c:v>
                </c:pt>
              </c:numCache>
            </c:numRef>
          </c:val>
          <c:extLst>
            <c:ext xmlns:c16="http://schemas.microsoft.com/office/drawing/2014/chart" uri="{C3380CC4-5D6E-409C-BE32-E72D297353CC}">
              <c16:uniqueId val="{00000016-BF42-4346-9E94-351EDB518B79}"/>
            </c:ext>
          </c:extLst>
        </c:ser>
        <c:ser>
          <c:idx val="24"/>
          <c:order val="24"/>
          <c:tx>
            <c:strRef>
              <c:f>Sheet1!$Z$33:$Z$34</c:f>
              <c:strCache>
                <c:ptCount val="1"/>
                <c:pt idx="0">
                  <c:v>STP Discharge Pump</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Sheet1!$Z$35:$Z$46</c:f>
              <c:numCache>
                <c:formatCode>General</c:formatCode>
                <c:ptCount val="12"/>
                <c:pt idx="0">
                  <c:v>15.44</c:v>
                </c:pt>
                <c:pt idx="1">
                  <c:v>15.6</c:v>
                </c:pt>
                <c:pt idx="2">
                  <c:v>15.64</c:v>
                </c:pt>
                <c:pt idx="3">
                  <c:v>12.5</c:v>
                </c:pt>
                <c:pt idx="4">
                  <c:v>13.93</c:v>
                </c:pt>
                <c:pt idx="5">
                  <c:v>15.6</c:v>
                </c:pt>
              </c:numCache>
            </c:numRef>
          </c:val>
          <c:extLst>
            <c:ext xmlns:c16="http://schemas.microsoft.com/office/drawing/2014/chart" uri="{C3380CC4-5D6E-409C-BE32-E72D297353CC}">
              <c16:uniqueId val="{00000017-BF42-4346-9E94-351EDB518B79}"/>
            </c:ext>
          </c:extLst>
        </c:ser>
        <c:ser>
          <c:idx val="25"/>
          <c:order val="25"/>
          <c:tx>
            <c:strRef>
              <c:f>Sheet1!$AA$33:$AA$34</c:f>
              <c:strCache>
                <c:ptCount val="1"/>
                <c:pt idx="0">
                  <c:v>STP Ejector Pump #1</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Sheet1!$AA$35:$AA$46</c:f>
              <c:numCache>
                <c:formatCode>General</c:formatCode>
                <c:ptCount val="12"/>
                <c:pt idx="1">
                  <c:v>17.34</c:v>
                </c:pt>
                <c:pt idx="3">
                  <c:v>24</c:v>
                </c:pt>
                <c:pt idx="4">
                  <c:v>25.8</c:v>
                </c:pt>
                <c:pt idx="5">
                  <c:v>17.34</c:v>
                </c:pt>
              </c:numCache>
            </c:numRef>
          </c:val>
          <c:extLst>
            <c:ext xmlns:c16="http://schemas.microsoft.com/office/drawing/2014/chart" uri="{C3380CC4-5D6E-409C-BE32-E72D297353CC}">
              <c16:uniqueId val="{00000018-BF42-4346-9E94-351EDB518B79}"/>
            </c:ext>
          </c:extLst>
        </c:ser>
        <c:ser>
          <c:idx val="26"/>
          <c:order val="26"/>
          <c:tx>
            <c:strRef>
              <c:f>Sheet1!$AB$33:$AB$34</c:f>
              <c:strCache>
                <c:ptCount val="1"/>
                <c:pt idx="0">
                  <c:v>STP Ejector Pump #2</c:v>
                </c:pt>
              </c:strCache>
            </c:strRef>
          </c:tx>
          <c:spPr>
            <a:solidFill>
              <a:schemeClr val="accent1"/>
            </a:solidFill>
            <a:ln>
              <a:noFill/>
            </a:ln>
            <a:effectLst/>
          </c:spPr>
          <c:invertIfNegative val="0"/>
          <c:cat>
            <c:strRef>
              <c:f>Sheet1!$A$35:$A$46</c:f>
              <c:strCache>
                <c:ptCount val="12"/>
                <c:pt idx="0">
                  <c:v>Jan-Acc </c:v>
                </c:pt>
                <c:pt idx="1">
                  <c:v>Feb-Acc </c:v>
                </c:pt>
                <c:pt idx="2">
                  <c:v>Mar-Acc </c:v>
                </c:pt>
                <c:pt idx="3">
                  <c:v>Apr-Acc </c:v>
                </c:pt>
                <c:pt idx="4">
                  <c:v>May-Acc </c:v>
                </c:pt>
                <c:pt idx="5">
                  <c:v>Jun-Acc </c:v>
                </c:pt>
                <c:pt idx="6">
                  <c:v>Jul-Acc </c:v>
                </c:pt>
                <c:pt idx="7">
                  <c:v>Aug-Acc </c:v>
                </c:pt>
                <c:pt idx="8">
                  <c:v>Sep-Acc </c:v>
                </c:pt>
                <c:pt idx="9">
                  <c:v>Oct-Acc </c:v>
                </c:pt>
                <c:pt idx="10">
                  <c:v>Nov-Acc </c:v>
                </c:pt>
                <c:pt idx="11">
                  <c:v>Dec-Acc </c:v>
                </c:pt>
              </c:strCache>
            </c:strRef>
          </c:cat>
          <c:val>
            <c:numRef>
              <c:f>Sheet1!$AB$35:$AB$46</c:f>
              <c:numCache>
                <c:formatCode>General</c:formatCode>
                <c:ptCount val="12"/>
                <c:pt idx="0">
                  <c:v>14.42</c:v>
                </c:pt>
                <c:pt idx="2">
                  <c:v>14.48</c:v>
                </c:pt>
                <c:pt idx="4">
                  <c:v>24.43</c:v>
                </c:pt>
              </c:numCache>
            </c:numRef>
          </c:val>
          <c:extLst>
            <c:ext xmlns:c16="http://schemas.microsoft.com/office/drawing/2014/chart" uri="{C3380CC4-5D6E-409C-BE32-E72D297353CC}">
              <c16:uniqueId val="{00000019-BF42-4346-9E94-351EDB518B79}"/>
            </c:ext>
          </c:extLst>
        </c:ser>
        <c:dLbls>
          <c:showLegendKey val="0"/>
          <c:showVal val="0"/>
          <c:showCatName val="0"/>
          <c:showSerName val="0"/>
          <c:showPercent val="0"/>
          <c:showBubbleSize val="0"/>
        </c:dLbls>
        <c:gapWidth val="219"/>
        <c:overlap val="-27"/>
        <c:axId val="44438656"/>
        <c:axId val="44440192"/>
      </c:barChart>
      <c:catAx>
        <c:axId val="4443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40192"/>
        <c:crosses val="autoZero"/>
        <c:auto val="1"/>
        <c:lblAlgn val="ctr"/>
        <c:lblOffset val="100"/>
        <c:noMultiLvlLbl val="0"/>
      </c:catAx>
      <c:valAx>
        <c:axId val="4444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3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10</xdr:col>
      <xdr:colOff>484187</xdr:colOff>
      <xdr:row>37</xdr:row>
      <xdr:rowOff>174625</xdr:rowOff>
    </xdr:from>
    <xdr:to>
      <xdr:col>25</xdr:col>
      <xdr:colOff>71437</xdr:colOff>
      <xdr:row>70</xdr:row>
      <xdr:rowOff>31750</xdr:rowOff>
    </xdr:to>
    <xdr:graphicFrame macro="">
      <xdr:nvGraphicFramePr>
        <xdr:cNvPr id="9" name="Chart 8">
          <a:extLst>
            <a:ext uri="{FF2B5EF4-FFF2-40B4-BE49-F238E27FC236}">
              <a16:creationId xmlns:a16="http://schemas.microsoft.com/office/drawing/2014/main" id="{6EB22C7C-6039-4AAB-BADE-058F75B72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79376</xdr:colOff>
      <xdr:row>38</xdr:row>
      <xdr:rowOff>15875</xdr:rowOff>
    </xdr:from>
    <xdr:to>
      <xdr:col>10</xdr:col>
      <xdr:colOff>174625</xdr:colOff>
      <xdr:row>70</xdr:row>
      <xdr:rowOff>63500</xdr:rowOff>
    </xdr:to>
    <xdr:graphicFrame macro="">
      <xdr:nvGraphicFramePr>
        <xdr:cNvPr id="10" name="Chart 9">
          <a:extLst>
            <a:ext uri="{FF2B5EF4-FFF2-40B4-BE49-F238E27FC236}">
              <a16:creationId xmlns:a16="http://schemas.microsoft.com/office/drawing/2014/main" id="{673BC1D6-5543-4450-AFE7-B9934DD17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381001</xdr:colOff>
      <xdr:row>37</xdr:row>
      <xdr:rowOff>95250</xdr:rowOff>
    </xdr:from>
    <xdr:to>
      <xdr:col>38</xdr:col>
      <xdr:colOff>857249</xdr:colOff>
      <xdr:row>69</xdr:row>
      <xdr:rowOff>142875</xdr:rowOff>
    </xdr:to>
    <xdr:graphicFrame macro="">
      <xdr:nvGraphicFramePr>
        <xdr:cNvPr id="11" name="Chart 10">
          <a:extLst>
            <a:ext uri="{FF2B5EF4-FFF2-40B4-BE49-F238E27FC236}">
              <a16:creationId xmlns:a16="http://schemas.microsoft.com/office/drawing/2014/main" id="{2B114B6E-8890-4AD2-BFAE-F85E3C7A0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60325</xdr:colOff>
      <xdr:row>71</xdr:row>
      <xdr:rowOff>88900</xdr:rowOff>
    </xdr:from>
    <xdr:to>
      <xdr:col>10</xdr:col>
      <xdr:colOff>69850</xdr:colOff>
      <xdr:row>103</xdr:row>
      <xdr:rowOff>136525</xdr:rowOff>
    </xdr:to>
    <xdr:graphicFrame macro="">
      <xdr:nvGraphicFramePr>
        <xdr:cNvPr id="14" name="Chart 13">
          <a:extLst>
            <a:ext uri="{FF2B5EF4-FFF2-40B4-BE49-F238E27FC236}">
              <a16:creationId xmlns:a16="http://schemas.microsoft.com/office/drawing/2014/main" id="{BEE2D607-1443-42C0-BD1B-1F29AA2CD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444500</xdr:colOff>
      <xdr:row>71</xdr:row>
      <xdr:rowOff>134938</xdr:rowOff>
    </xdr:from>
    <xdr:to>
      <xdr:col>25</xdr:col>
      <xdr:colOff>47625</xdr:colOff>
      <xdr:row>103</xdr:row>
      <xdr:rowOff>182563</xdr:rowOff>
    </xdr:to>
    <xdr:graphicFrame macro="">
      <xdr:nvGraphicFramePr>
        <xdr:cNvPr id="15" name="Chart 14">
          <a:extLst>
            <a:ext uri="{FF2B5EF4-FFF2-40B4-BE49-F238E27FC236}">
              <a16:creationId xmlns:a16="http://schemas.microsoft.com/office/drawing/2014/main" id="{63099129-CF3D-4CD3-A8D9-0D65CFC5B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352425</xdr:colOff>
      <xdr:row>71</xdr:row>
      <xdr:rowOff>79375</xdr:rowOff>
    </xdr:from>
    <xdr:to>
      <xdr:col>38</xdr:col>
      <xdr:colOff>857249</xdr:colOff>
      <xdr:row>103</xdr:row>
      <xdr:rowOff>127000</xdr:rowOff>
    </xdr:to>
    <xdr:graphicFrame macro="">
      <xdr:nvGraphicFramePr>
        <xdr:cNvPr id="16" name="Chart 15">
          <a:extLst>
            <a:ext uri="{FF2B5EF4-FFF2-40B4-BE49-F238E27FC236}">
              <a16:creationId xmlns:a16="http://schemas.microsoft.com/office/drawing/2014/main" id="{014DB50A-3D53-44C5-99C2-F0E49B8C8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106</xdr:row>
      <xdr:rowOff>12700</xdr:rowOff>
    </xdr:from>
    <xdr:to>
      <xdr:col>9</xdr:col>
      <xdr:colOff>1038225</xdr:colOff>
      <xdr:row>138</xdr:row>
      <xdr:rowOff>60325</xdr:rowOff>
    </xdr:to>
    <xdr:graphicFrame macro="">
      <xdr:nvGraphicFramePr>
        <xdr:cNvPr id="17" name="Chart 16">
          <a:extLst>
            <a:ext uri="{FF2B5EF4-FFF2-40B4-BE49-F238E27FC236}">
              <a16:creationId xmlns:a16="http://schemas.microsoft.com/office/drawing/2014/main" id="{AC14F5AC-1F8F-4D8A-8052-2A480EC61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438150</xdr:colOff>
      <xdr:row>106</xdr:row>
      <xdr:rowOff>22225</xdr:rowOff>
    </xdr:from>
    <xdr:to>
      <xdr:col>25</xdr:col>
      <xdr:colOff>119062</xdr:colOff>
      <xdr:row>138</xdr:row>
      <xdr:rowOff>69850</xdr:rowOff>
    </xdr:to>
    <xdr:graphicFrame macro="">
      <xdr:nvGraphicFramePr>
        <xdr:cNvPr id="18" name="Chart 17">
          <a:extLst>
            <a:ext uri="{FF2B5EF4-FFF2-40B4-BE49-F238E27FC236}">
              <a16:creationId xmlns:a16="http://schemas.microsoft.com/office/drawing/2014/main" id="{FAFC7406-E702-4158-A0C8-1C1A7496E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381000</xdr:colOff>
      <xdr:row>106</xdr:row>
      <xdr:rowOff>20638</xdr:rowOff>
    </xdr:from>
    <xdr:to>
      <xdr:col>38</xdr:col>
      <xdr:colOff>785812</xdr:colOff>
      <xdr:row>138</xdr:row>
      <xdr:rowOff>68263</xdr:rowOff>
    </xdr:to>
    <xdr:graphicFrame macro="">
      <xdr:nvGraphicFramePr>
        <xdr:cNvPr id="19" name="Chart 18">
          <a:extLst>
            <a:ext uri="{FF2B5EF4-FFF2-40B4-BE49-F238E27FC236}">
              <a16:creationId xmlns:a16="http://schemas.microsoft.com/office/drawing/2014/main" id="{F144B542-9476-453A-9420-0EC94A63D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2162175</xdr:colOff>
      <xdr:row>140</xdr:row>
      <xdr:rowOff>25400</xdr:rowOff>
    </xdr:from>
    <xdr:to>
      <xdr:col>15</xdr:col>
      <xdr:colOff>261937</xdr:colOff>
      <xdr:row>172</xdr:row>
      <xdr:rowOff>73025</xdr:rowOff>
    </xdr:to>
    <xdr:graphicFrame macro="">
      <xdr:nvGraphicFramePr>
        <xdr:cNvPr id="20" name="Chart 19">
          <a:extLst>
            <a:ext uri="{FF2B5EF4-FFF2-40B4-BE49-F238E27FC236}">
              <a16:creationId xmlns:a16="http://schemas.microsoft.com/office/drawing/2014/main" id="{3E7AECC4-96B5-447B-AEAD-0095A7DA1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647702</xdr:colOff>
      <xdr:row>140</xdr:row>
      <xdr:rowOff>63500</xdr:rowOff>
    </xdr:from>
    <xdr:to>
      <xdr:col>32</xdr:col>
      <xdr:colOff>166687</xdr:colOff>
      <xdr:row>172</xdr:row>
      <xdr:rowOff>111125</xdr:rowOff>
    </xdr:to>
    <xdr:graphicFrame macro="">
      <xdr:nvGraphicFramePr>
        <xdr:cNvPr id="21" name="Chart 20">
          <a:extLst>
            <a:ext uri="{FF2B5EF4-FFF2-40B4-BE49-F238E27FC236}">
              <a16:creationId xmlns:a16="http://schemas.microsoft.com/office/drawing/2014/main" id="{AD382C06-61FF-4CFF-81EF-2D972153B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16</xdr:row>
      <xdr:rowOff>128587</xdr:rowOff>
    </xdr:from>
    <xdr:to>
      <xdr:col>8</xdr:col>
      <xdr:colOff>361950</xdr:colOff>
      <xdr:row>31</xdr:row>
      <xdr:rowOff>14287</xdr:rowOff>
    </xdr:to>
    <xdr:graphicFrame macro="">
      <xdr:nvGraphicFramePr>
        <xdr:cNvPr id="2" name="Chart 1">
          <a:extLst>
            <a:ext uri="{FF2B5EF4-FFF2-40B4-BE49-F238E27FC236}">
              <a16:creationId xmlns:a16="http://schemas.microsoft.com/office/drawing/2014/main" id="{4AF5451A-81B2-48C4-879D-8CC52BF5A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76199</xdr:colOff>
      <xdr:row>47</xdr:row>
      <xdr:rowOff>14287</xdr:rowOff>
    </xdr:from>
    <xdr:to>
      <xdr:col>6</xdr:col>
      <xdr:colOff>352424</xdr:colOff>
      <xdr:row>61</xdr:row>
      <xdr:rowOff>180975</xdr:rowOff>
    </xdr:to>
    <xdr:graphicFrame macro="">
      <xdr:nvGraphicFramePr>
        <xdr:cNvPr id="3" name="Chart 2">
          <a:extLst>
            <a:ext uri="{FF2B5EF4-FFF2-40B4-BE49-F238E27FC236}">
              <a16:creationId xmlns:a16="http://schemas.microsoft.com/office/drawing/2014/main" id="{11D7CF53-DDC8-4872-BCC1-2F3D4842A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36</xdr:row>
      <xdr:rowOff>190499</xdr:rowOff>
    </xdr:from>
    <xdr:to>
      <xdr:col>15</xdr:col>
      <xdr:colOff>600075</xdr:colOff>
      <xdr:row>53</xdr:row>
      <xdr:rowOff>142874</xdr:rowOff>
    </xdr:to>
    <xdr:graphicFrame macro="">
      <xdr:nvGraphicFramePr>
        <xdr:cNvPr id="9" name="Chart 8">
          <a:extLst>
            <a:ext uri="{FF2B5EF4-FFF2-40B4-BE49-F238E27FC236}">
              <a16:creationId xmlns:a16="http://schemas.microsoft.com/office/drawing/2014/main" id="{F9E86B56-119C-4216-987E-F52ED9FD1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66675</xdr:colOff>
      <xdr:row>37</xdr:row>
      <xdr:rowOff>85725</xdr:rowOff>
    </xdr:from>
    <xdr:to>
      <xdr:col>26</xdr:col>
      <xdr:colOff>123825</xdr:colOff>
      <xdr:row>68</xdr:row>
      <xdr:rowOff>123825</xdr:rowOff>
    </xdr:to>
    <mc:AlternateContent xmlns:mc="http://schemas.openxmlformats.org/markup-compatibility/2006" xmlns:a14="http://schemas.microsoft.com/office/drawing/2010/main">
      <mc:Choice Requires="a14">
        <xdr:graphicFrame macro="">
          <xdr:nvGraphicFramePr>
            <xdr:cNvPr id="4" name="Motor">
              <a:extLst>
                <a:ext uri="{FF2B5EF4-FFF2-40B4-BE49-F238E27FC236}">
                  <a16:creationId xmlns:a16="http://schemas.microsoft.com/office/drawing/2014/main" id="{802FEAB5-BC9B-4684-B645-380F5D0AEC13}"/>
                </a:ext>
              </a:extLst>
            </xdr:cNvPr>
            <xdr:cNvGraphicFramePr/>
          </xdr:nvGraphicFramePr>
          <xdr:xfrm>
            <a:off x="0" y="0"/>
            <a:ext cx="0" cy="0"/>
          </xdr:xfrm>
          <a:graphic>
            <a:graphicData uri="http://schemas.microsoft.com/office/drawing/2010/slicer">
              <sle:slicer xmlns:sle="http://schemas.microsoft.com/office/drawing/2010/slicer" name="Motor"/>
            </a:graphicData>
          </a:graphic>
        </xdr:graphicFrame>
      </mc:Choice>
      <mc:Fallback xmlns="">
        <xdr:sp macro="" textlink="">
          <xdr:nvSpPr>
            <xdr:cNvPr id="3" name="Rectangle 2"/>
            <xdr:cNvSpPr>
              <a:spLocks noTextEdit="1"/>
            </xdr:cNvSpPr>
          </xdr:nvSpPr>
          <xdr:spPr>
            <a:xfrm>
              <a:off x="11668125" y="7219950"/>
              <a:ext cx="5543550" cy="59436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54</xdr:row>
      <xdr:rowOff>0</xdr:rowOff>
    </xdr:from>
    <xdr:to>
      <xdr:col>15</xdr:col>
      <xdr:colOff>533400</xdr:colOff>
      <xdr:row>68</xdr:row>
      <xdr:rowOff>166688</xdr:rowOff>
    </xdr:to>
    <xdr:graphicFrame macro="">
      <xdr:nvGraphicFramePr>
        <xdr:cNvPr id="11" name="Chart 10">
          <a:extLst>
            <a:ext uri="{FF2B5EF4-FFF2-40B4-BE49-F238E27FC236}">
              <a16:creationId xmlns:a16="http://schemas.microsoft.com/office/drawing/2014/main" id="{D04658FF-F9BC-40F8-9AFF-4477BB3CE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hor" refreshedDate="46202.401727314813" createdVersion="7" refreshedVersion="8" minRefreshableVersion="3" recordCount="27" xr:uid="{00000000-000A-0000-FFFF-FFFF03000000}">
  <cacheSource type="worksheet">
    <worksheetSource ref="B9:Z36" sheet="Vibration"/>
  </cacheSource>
  <cacheFields count="25">
    <cacheField name="Motor" numFmtId="0">
      <sharedItems count="27">
        <s v="No.1 Main Air Compressor"/>
        <s v="No.2 Main Air Compressor"/>
        <s v="No.1 Main Cooling S.W. Pump"/>
        <s v="No.2 Main Cooling S.W. Pump"/>
        <s v="No.3 Main Cooling S.W. Pump"/>
        <s v="FWG Ejector pump"/>
        <s v="No.1 IGG Blower"/>
        <s v="No.2 IGG Blower"/>
        <s v="Incinerator Flue Gas Fan"/>
        <s v="Incinerator Blower Motor"/>
        <s v="No.1 Deck Seal Pump"/>
        <s v="No.2 Deck Seal Pump"/>
        <s v="IGG Scrubber Pump"/>
        <s v="No.1 G/E L.O. Priming Pump"/>
        <s v="No.2 G/E L.O. Priming Pump"/>
        <s v="No.3 G/E L.O. Priming Pump"/>
        <s v="No.1 M/E FO Circulating Pump"/>
        <s v="No.2 M/E FO Circulating Pump"/>
        <s v="Economiser Feed water Pump"/>
        <s v="STP Blower "/>
        <s v="STP Discharge Pump"/>
        <s v="STP Ejector Pump #1"/>
        <s v="STP Ejector Pump #2"/>
        <s v="No.1 Main LO Pump "/>
        <s v="No.2 Main LO Pump "/>
        <s v="No.1 Steering Gear"/>
        <s v="No.2 Steering Gear"/>
      </sharedItems>
    </cacheField>
    <cacheField name="Jan-Vel" numFmtId="0">
      <sharedItems containsString="0" containsBlank="1" containsNumber="1" minValue="1.26" maxValue="15.18"/>
    </cacheField>
    <cacheField name="Jan-Acc" numFmtId="0">
      <sharedItems containsString="0" containsBlank="1" containsNumber="1" minValue="7.9" maxValue="50.26"/>
    </cacheField>
    <cacheField name="Feb-Vel" numFmtId="0">
      <sharedItems containsString="0" containsBlank="1" containsNumber="1" minValue="1.3" maxValue="16.260000000000002"/>
    </cacheField>
    <cacheField name="Feb-Acc" numFmtId="0">
      <sharedItems containsString="0" containsBlank="1" containsNumber="1" minValue="3.58" maxValue="50.32"/>
    </cacheField>
    <cacheField name="Mar-Vel" numFmtId="0">
      <sharedItems containsString="0" containsBlank="1" containsNumber="1" minValue="1.56" maxValue="15.22"/>
    </cacheField>
    <cacheField name="Mar-Acc" numFmtId="0">
      <sharedItems containsString="0" containsBlank="1" containsNumber="1" minValue="8.07" maxValue="50.36"/>
    </cacheField>
    <cacheField name="Apr-Vel" numFmtId="0">
      <sharedItems containsString="0" containsBlank="1" containsNumber="1" minValue="1.4" maxValue="14.8"/>
    </cacheField>
    <cacheField name="Apr-Acc" numFmtId="0">
      <sharedItems containsString="0" containsBlank="1" containsNumber="1" minValue="6.3" maxValue="50.3"/>
    </cacheField>
    <cacheField name="May-Vel" numFmtId="0">
      <sharedItems containsString="0" containsBlank="1" containsNumber="1" minValue="0.52" maxValue="16.5"/>
    </cacheField>
    <cacheField name="May-Acc" numFmtId="0">
      <sharedItems containsString="0" containsBlank="1" containsNumber="1" minValue="7.51" maxValue="47.58"/>
    </cacheField>
    <cacheField name="Jun-Vel" numFmtId="0">
      <sharedItems containsString="0" containsBlank="1" containsNumber="1" minValue="1.3" maxValue="16.260000000000002"/>
    </cacheField>
    <cacheField name="Jun-Acc" numFmtId="0">
      <sharedItems containsString="0" containsBlank="1" containsNumber="1" minValue="3.58" maxValue="50.32"/>
    </cacheField>
    <cacheField name="Jul-Vel" numFmtId="0">
      <sharedItems containsNonDate="0" containsString="0" containsBlank="1"/>
    </cacheField>
    <cacheField name="Jul-Acc" numFmtId="0">
      <sharedItems containsNonDate="0" containsString="0" containsBlank="1"/>
    </cacheField>
    <cacheField name="Aug-Vel" numFmtId="0">
      <sharedItems containsNonDate="0" containsString="0" containsBlank="1"/>
    </cacheField>
    <cacheField name="Aug-Acc" numFmtId="0">
      <sharedItems containsNonDate="0" containsString="0" containsBlank="1"/>
    </cacheField>
    <cacheField name="Sep-Vel" numFmtId="0">
      <sharedItems containsNonDate="0" containsString="0" containsBlank="1"/>
    </cacheField>
    <cacheField name="Sep-Acc" numFmtId="0">
      <sharedItems containsNonDate="0" containsString="0" containsBlank="1"/>
    </cacheField>
    <cacheField name="Oct-Vel" numFmtId="0">
      <sharedItems containsNonDate="0" containsString="0" containsBlank="1"/>
    </cacheField>
    <cacheField name="Oct-Acc" numFmtId="0">
      <sharedItems containsNonDate="0" containsString="0" containsBlank="1"/>
    </cacheField>
    <cacheField name="Nov-Vel" numFmtId="0">
      <sharedItems containsNonDate="0" containsString="0" containsBlank="1"/>
    </cacheField>
    <cacheField name="Nov-Acc" numFmtId="0">
      <sharedItems containsNonDate="0" containsString="0" containsBlank="1"/>
    </cacheField>
    <cacheField name="Dec-Vel" numFmtId="0">
      <sharedItems containsNonDate="0" containsString="0" containsBlank="1"/>
    </cacheField>
    <cacheField name="Dec-Acc" numFmtId="0">
      <sharedItems containsNonDate="0" containsString="0" containsBlank="1"/>
    </cacheField>
  </cacheFields>
  <extLst>
    <ext xmlns:x14="http://schemas.microsoft.com/office/spreadsheetml/2009/9/main" uri="{725AE2AE-9491-48be-B2B4-4EB974FC3084}">
      <x14:pivotCacheDefinition pivotCacheId="1071747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9.94"/>
    <n v="46.9"/>
    <n v="9.98"/>
    <n v="47.3"/>
    <n v="10"/>
    <n v="47.34"/>
    <n v="9.5"/>
    <n v="46.25"/>
    <n v="9.5399999999999991"/>
    <n v="44.75"/>
    <n v="9.98"/>
    <n v="47.3"/>
    <m/>
    <m/>
    <m/>
    <m/>
    <m/>
    <m/>
    <m/>
    <m/>
    <m/>
    <m/>
    <m/>
    <m/>
  </r>
  <r>
    <x v="1"/>
    <n v="11.9"/>
    <n v="50.26"/>
    <n v="12.06"/>
    <n v="50.32"/>
    <n v="12.1"/>
    <n v="50.36"/>
    <n v="11.07"/>
    <n v="50.3"/>
    <n v="10.11"/>
    <n v="47.58"/>
    <n v="12.06"/>
    <n v="50.32"/>
    <m/>
    <m/>
    <m/>
    <m/>
    <m/>
    <m/>
    <m/>
    <m/>
    <m/>
    <m/>
    <m/>
    <m/>
  </r>
  <r>
    <x v="2"/>
    <n v="15.18"/>
    <n v="31.3"/>
    <m/>
    <m/>
    <n v="15.22"/>
    <n v="31.36"/>
    <m/>
    <m/>
    <m/>
    <m/>
    <m/>
    <m/>
    <m/>
    <m/>
    <m/>
    <m/>
    <m/>
    <m/>
    <m/>
    <m/>
    <m/>
    <m/>
    <m/>
    <m/>
  </r>
  <r>
    <x v="3"/>
    <m/>
    <m/>
    <n v="16.260000000000002"/>
    <n v="31.42"/>
    <m/>
    <m/>
    <n v="13.2"/>
    <n v="31"/>
    <n v="16.5"/>
    <n v="30.28"/>
    <n v="16.260000000000002"/>
    <n v="31.42"/>
    <m/>
    <m/>
    <m/>
    <m/>
    <m/>
    <m/>
    <m/>
    <m/>
    <m/>
    <m/>
    <m/>
    <m/>
  </r>
  <r>
    <x v="4"/>
    <m/>
    <m/>
    <m/>
    <m/>
    <m/>
    <m/>
    <m/>
    <m/>
    <m/>
    <m/>
    <m/>
    <m/>
    <m/>
    <m/>
    <m/>
    <m/>
    <m/>
    <m/>
    <m/>
    <m/>
    <m/>
    <m/>
    <m/>
    <m/>
  </r>
  <r>
    <x v="5"/>
    <n v="2.4"/>
    <n v="38.5"/>
    <n v="2.48"/>
    <n v="38.6"/>
    <n v="3.64"/>
    <n v="38.68"/>
    <n v="3.15"/>
    <n v="26.2"/>
    <n v="2.06"/>
    <n v="38.28"/>
    <n v="2.48"/>
    <n v="38.6"/>
    <m/>
    <m/>
    <m/>
    <m/>
    <m/>
    <m/>
    <m/>
    <m/>
    <m/>
    <m/>
    <m/>
    <m/>
  </r>
  <r>
    <x v="6"/>
    <m/>
    <m/>
    <n v="1.96"/>
    <n v="8.6999999999999993"/>
    <m/>
    <m/>
    <n v="2.8"/>
    <n v="15"/>
    <n v="1.72"/>
    <n v="9.1199999999999992"/>
    <n v="1.96"/>
    <n v="8.6999999999999993"/>
    <m/>
    <m/>
    <m/>
    <m/>
    <m/>
    <m/>
    <m/>
    <m/>
    <m/>
    <m/>
    <m/>
    <m/>
  </r>
  <r>
    <x v="7"/>
    <n v="2.8"/>
    <n v="12.66"/>
    <m/>
    <m/>
    <n v="3.58"/>
    <n v="14.62"/>
    <m/>
    <m/>
    <m/>
    <m/>
    <m/>
    <m/>
    <m/>
    <m/>
    <m/>
    <m/>
    <m/>
    <m/>
    <m/>
    <m/>
    <m/>
    <m/>
    <m/>
    <m/>
  </r>
  <r>
    <x v="8"/>
    <n v="1.26"/>
    <n v="10.6"/>
    <n v="1.3"/>
    <n v="12.7"/>
    <n v="2.86"/>
    <n v="12.8"/>
    <m/>
    <m/>
    <n v="1.1499999999999999"/>
    <n v="9.14"/>
    <n v="1.3"/>
    <n v="12.7"/>
    <m/>
    <m/>
    <m/>
    <m/>
    <m/>
    <m/>
    <m/>
    <m/>
    <m/>
    <m/>
    <m/>
    <m/>
  </r>
  <r>
    <x v="9"/>
    <n v="1.42"/>
    <n v="11.72"/>
    <n v="1.5"/>
    <n v="11.8"/>
    <n v="1.56"/>
    <n v="11.85"/>
    <n v="2.9"/>
    <n v="6.3"/>
    <n v="0.52"/>
    <n v="9.51"/>
    <n v="1.5"/>
    <n v="11.8"/>
    <m/>
    <m/>
    <m/>
    <m/>
    <m/>
    <m/>
    <m/>
    <m/>
    <m/>
    <m/>
    <m/>
    <m/>
  </r>
  <r>
    <x v="10"/>
    <n v="1.86"/>
    <n v="7.9"/>
    <m/>
    <m/>
    <n v="1.96"/>
    <n v="8.07"/>
    <n v="1.4"/>
    <n v="8.4"/>
    <m/>
    <m/>
    <m/>
    <m/>
    <m/>
    <m/>
    <m/>
    <m/>
    <m/>
    <m/>
    <m/>
    <m/>
    <m/>
    <m/>
    <m/>
    <m/>
  </r>
  <r>
    <x v="11"/>
    <m/>
    <m/>
    <n v="1.32"/>
    <n v="7.6"/>
    <m/>
    <m/>
    <m/>
    <m/>
    <n v="1.51"/>
    <n v="7.51"/>
    <n v="1.32"/>
    <n v="7.6"/>
    <m/>
    <m/>
    <m/>
    <m/>
    <m/>
    <m/>
    <m/>
    <m/>
    <m/>
    <m/>
    <m/>
    <m/>
  </r>
  <r>
    <x v="12"/>
    <n v="14.42"/>
    <n v="37.520000000000003"/>
    <n v="14.46"/>
    <n v="37.6"/>
    <n v="14.54"/>
    <n v="37.700000000000003"/>
    <n v="14.8"/>
    <n v="31"/>
    <n v="13.46"/>
    <n v="30.28"/>
    <n v="14.46"/>
    <n v="37.6"/>
    <m/>
    <m/>
    <m/>
    <m/>
    <m/>
    <m/>
    <m/>
    <m/>
    <m/>
    <m/>
    <m/>
    <m/>
  </r>
  <r>
    <x v="13"/>
    <n v="2.16"/>
    <n v="10.62"/>
    <n v="2.2000000000000002"/>
    <n v="10.66"/>
    <n v="2.2400000000000002"/>
    <n v="10.72"/>
    <n v="1.93"/>
    <n v="10.5"/>
    <n v="1.65"/>
    <n v="10.76"/>
    <n v="2.2000000000000002"/>
    <n v="10.66"/>
    <m/>
    <m/>
    <m/>
    <m/>
    <m/>
    <m/>
    <m/>
    <m/>
    <m/>
    <m/>
    <m/>
    <m/>
  </r>
  <r>
    <x v="14"/>
    <n v="2.06"/>
    <n v="10.32"/>
    <n v="2.12"/>
    <n v="10.36"/>
    <n v="2.1800000000000002"/>
    <n v="10.42"/>
    <n v="2.0499999999999998"/>
    <n v="30.2"/>
    <n v="1.56"/>
    <n v="10.76"/>
    <n v="2.12"/>
    <n v="10.36"/>
    <m/>
    <m/>
    <m/>
    <m/>
    <m/>
    <m/>
    <m/>
    <m/>
    <m/>
    <m/>
    <m/>
    <m/>
  </r>
  <r>
    <x v="15"/>
    <n v="1.8"/>
    <n v="10.6"/>
    <n v="1.88"/>
    <n v="10.64"/>
    <n v="1.98"/>
    <n v="10.7"/>
    <n v="1.68"/>
    <n v="10.199999999999999"/>
    <n v="1.31"/>
    <n v="9.56"/>
    <n v="1.88"/>
    <n v="10.64"/>
    <m/>
    <m/>
    <m/>
    <m/>
    <m/>
    <m/>
    <m/>
    <m/>
    <m/>
    <m/>
    <m/>
    <m/>
  </r>
  <r>
    <x v="16"/>
    <m/>
    <m/>
    <n v="3.64"/>
    <n v="6.34"/>
    <m/>
    <m/>
    <m/>
    <m/>
    <n v="3.41"/>
    <n v="13.42"/>
    <n v="3.64"/>
    <n v="6.34"/>
    <m/>
    <m/>
    <m/>
    <m/>
    <m/>
    <m/>
    <m/>
    <m/>
    <m/>
    <m/>
    <m/>
    <m/>
  </r>
  <r>
    <x v="17"/>
    <n v="3.52"/>
    <n v="15.4"/>
    <m/>
    <m/>
    <n v="3.54"/>
    <n v="15.46"/>
    <n v="2.33"/>
    <n v="16.5"/>
    <n v="3.64"/>
    <n v="12.63"/>
    <m/>
    <m/>
    <m/>
    <m/>
    <m/>
    <m/>
    <m/>
    <m/>
    <m/>
    <m/>
    <m/>
    <m/>
    <m/>
    <m/>
  </r>
  <r>
    <x v="18"/>
    <m/>
    <m/>
    <m/>
    <m/>
    <m/>
    <m/>
    <m/>
    <m/>
    <m/>
    <m/>
    <m/>
    <m/>
    <m/>
    <m/>
    <m/>
    <m/>
    <m/>
    <m/>
    <m/>
    <m/>
    <m/>
    <m/>
    <m/>
    <m/>
  </r>
  <r>
    <x v="19"/>
    <n v="2.6"/>
    <n v="16.46"/>
    <n v="2.64"/>
    <n v="16.5"/>
    <n v="2.68"/>
    <n v="16.54"/>
    <n v="2.8"/>
    <n v="16"/>
    <n v="2.36"/>
    <n v="14.57"/>
    <n v="2.64"/>
    <n v="16.5"/>
    <m/>
    <m/>
    <m/>
    <m/>
    <m/>
    <m/>
    <m/>
    <m/>
    <m/>
    <m/>
    <m/>
    <m/>
  </r>
  <r>
    <x v="20"/>
    <n v="2.86"/>
    <n v="15.44"/>
    <n v="2.9"/>
    <n v="15.6"/>
    <n v="2.98"/>
    <n v="15.64"/>
    <n v="2.1"/>
    <n v="12.5"/>
    <n v="2.58"/>
    <n v="13.93"/>
    <n v="2.9"/>
    <n v="15.6"/>
    <m/>
    <m/>
    <m/>
    <m/>
    <m/>
    <m/>
    <m/>
    <m/>
    <m/>
    <m/>
    <m/>
    <m/>
  </r>
  <r>
    <x v="21"/>
    <m/>
    <m/>
    <n v="7.26"/>
    <n v="17.34"/>
    <m/>
    <m/>
    <n v="7.1"/>
    <n v="24"/>
    <n v="6.72"/>
    <n v="25.8"/>
    <n v="7.26"/>
    <n v="17.34"/>
    <m/>
    <m/>
    <m/>
    <m/>
    <m/>
    <m/>
    <m/>
    <m/>
    <m/>
    <m/>
    <m/>
    <m/>
  </r>
  <r>
    <x v="22"/>
    <n v="6.56"/>
    <n v="14.42"/>
    <m/>
    <m/>
    <n v="6.6"/>
    <n v="14.48"/>
    <m/>
    <m/>
    <n v="6.86"/>
    <n v="24.43"/>
    <m/>
    <m/>
    <m/>
    <m/>
    <m/>
    <m/>
    <m/>
    <m/>
    <m/>
    <m/>
    <m/>
    <m/>
    <m/>
    <m/>
  </r>
  <r>
    <x v="23"/>
    <n v="2.86"/>
    <n v="11.38"/>
    <m/>
    <m/>
    <n v="2.96"/>
    <n v="11.5"/>
    <m/>
    <m/>
    <n v="1.29"/>
    <n v="10.72"/>
    <m/>
    <m/>
    <m/>
    <m/>
    <m/>
    <m/>
    <m/>
    <m/>
    <m/>
    <m/>
    <m/>
    <m/>
    <m/>
    <m/>
  </r>
  <r>
    <x v="24"/>
    <m/>
    <m/>
    <n v="2.52"/>
    <n v="3.58"/>
    <m/>
    <m/>
    <n v="2.2999999999999998"/>
    <n v="9.8000000000000007"/>
    <m/>
    <m/>
    <n v="2.52"/>
    <n v="3.58"/>
    <m/>
    <m/>
    <m/>
    <m/>
    <m/>
    <m/>
    <m/>
    <m/>
    <m/>
    <m/>
    <m/>
    <m/>
  </r>
  <r>
    <x v="25"/>
    <n v="1.7"/>
    <n v="19.82"/>
    <n v="2.65"/>
    <n v="19.88"/>
    <n v="2.7"/>
    <n v="19.98"/>
    <n v="1.45"/>
    <n v="18"/>
    <n v="2.37"/>
    <n v="17.38"/>
    <n v="2.65"/>
    <n v="19.88"/>
    <m/>
    <m/>
    <m/>
    <m/>
    <m/>
    <m/>
    <m/>
    <m/>
    <m/>
    <m/>
    <m/>
    <m/>
  </r>
  <r>
    <x v="26"/>
    <n v="2.72"/>
    <n v="18.84"/>
    <n v="2.76"/>
    <n v="18.920000000000002"/>
    <n v="2.83"/>
    <n v="18.98"/>
    <n v="2.8"/>
    <n v="15"/>
    <n v="2.35"/>
    <n v="17.87"/>
    <n v="2.76"/>
    <n v="18.920000000000002"/>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4" dataOnRows="1" dataPosition="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A33:AC46" firstHeaderRow="1" firstDataRow="2" firstDataCol="1"/>
  <pivotFields count="25">
    <pivotField axis="axisCol" showAll="0">
      <items count="28">
        <item x="18"/>
        <item x="5"/>
        <item x="12"/>
        <item x="9"/>
        <item x="8"/>
        <item x="10"/>
        <item x="13"/>
        <item x="6"/>
        <item x="16"/>
        <item x="0"/>
        <item x="2"/>
        <item x="23"/>
        <item x="25"/>
        <item x="11"/>
        <item x="14"/>
        <item x="7"/>
        <item x="17"/>
        <item x="1"/>
        <item x="3"/>
        <item x="24"/>
        <item x="26"/>
        <item x="15"/>
        <item x="4"/>
        <item x="19"/>
        <item x="20"/>
        <item x="21"/>
        <item x="22"/>
        <item t="default"/>
      </items>
    </pivotField>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s>
  <rowFields count="1">
    <field x="-2"/>
  </rowFields>
  <rowItems count="12">
    <i>
      <x/>
    </i>
    <i i="1">
      <x v="1"/>
    </i>
    <i i="2">
      <x v="2"/>
    </i>
    <i i="3">
      <x v="3"/>
    </i>
    <i i="4">
      <x v="4"/>
    </i>
    <i i="5">
      <x v="5"/>
    </i>
    <i i="6">
      <x v="6"/>
    </i>
    <i i="7">
      <x v="7"/>
    </i>
    <i i="8">
      <x v="8"/>
    </i>
    <i i="9">
      <x v="9"/>
    </i>
    <i i="10">
      <x v="10"/>
    </i>
    <i i="11">
      <x v="11"/>
    </i>
  </rowItems>
  <colFields count="1">
    <field x="0"/>
  </colFields>
  <col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colItems>
  <dataFields count="12">
    <dataField name="Jan-Acc " fld="2" baseField="0" baseItem="0"/>
    <dataField name="Feb-Acc " fld="4" baseField="0" baseItem="0"/>
    <dataField name="Mar-Acc " fld="6" baseField="0" baseItem="0"/>
    <dataField name="Apr-Acc " fld="8" baseField="0" baseItem="0"/>
    <dataField name="May-Acc " fld="10" baseField="0" baseItem="0"/>
    <dataField name="Jun-Acc " fld="12" baseField="0" baseItem="0"/>
    <dataField name="Jul-Acc " fld="14" baseField="0" baseItem="0"/>
    <dataField name="Aug-Acc " fld="16" baseField="0" baseItem="0"/>
    <dataField name="Sep-Acc " fld="18" baseField="0" baseItem="0"/>
    <dataField name="Oct-Acc " fld="20" baseField="0" baseItem="0"/>
    <dataField name="Nov-Acc " fld="22" baseField="0" baseItem="0"/>
    <dataField name="Dec-Acc " fld="24" baseField="0" baseItem="0"/>
  </dataFields>
  <chartFormats count="81">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2">
          <reference field="4294967294" count="1" selected="0">
            <x v="0"/>
          </reference>
          <reference field="0" count="1" selected="0">
            <x v="0"/>
          </reference>
        </references>
      </pivotArea>
    </chartFormat>
    <chartFormat chart="6" format="3"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2">
          <reference field="4294967294" count="1" selected="0">
            <x v="0"/>
          </reference>
          <reference field="0" count="1" selected="0">
            <x v="7"/>
          </reference>
        </references>
      </pivotArea>
    </chartFormat>
    <chartFormat chart="6" format="4" series="1">
      <pivotArea type="data" outline="0" fieldPosition="0">
        <references count="2">
          <reference field="4294967294" count="1" selected="0">
            <x v="0"/>
          </reference>
          <reference field="0" count="1" selected="0">
            <x v="7"/>
          </reference>
        </references>
      </pivotArea>
    </chartFormat>
    <chartFormat chart="5" format="2" series="1">
      <pivotArea type="data" outline="0" fieldPosition="0">
        <references count="2">
          <reference field="4294967294" count="1" selected="0">
            <x v="0"/>
          </reference>
          <reference field="0" count="1" selected="0">
            <x v="7"/>
          </reference>
        </references>
      </pivotArea>
    </chartFormat>
    <chartFormat chart="7" format="7" series="1">
      <pivotArea type="data" outline="0" fieldPosition="0">
        <references count="2">
          <reference field="4294967294" count="1" selected="0">
            <x v="0"/>
          </reference>
          <reference field="0" count="1" selected="0">
            <x v="2"/>
          </reference>
        </references>
      </pivotArea>
    </chartFormat>
    <chartFormat chart="6" format="5" series="1">
      <pivotArea type="data" outline="0" fieldPosition="0">
        <references count="2">
          <reference field="4294967294" count="1" selected="0">
            <x v="0"/>
          </reference>
          <reference field="0" count="1" selected="0">
            <x v="2"/>
          </reference>
        </references>
      </pivotArea>
    </chartFormat>
    <chartFormat chart="5" format="3" series="1">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2">
          <reference field="4294967294" count="1" selected="0">
            <x v="0"/>
          </reference>
          <reference field="0" count="1" selected="0">
            <x v="6"/>
          </reference>
        </references>
      </pivotArea>
    </chartFormat>
    <chartFormat chart="6" format="6" series="1">
      <pivotArea type="data" outline="0" fieldPosition="0">
        <references count="2">
          <reference field="4294967294" count="1" selected="0">
            <x v="0"/>
          </reference>
          <reference field="0" count="1" selected="0">
            <x v="6"/>
          </reference>
        </references>
      </pivotArea>
    </chartFormat>
    <chartFormat chart="5" format="4" series="1">
      <pivotArea type="data" outline="0" fieldPosition="0">
        <references count="2">
          <reference field="4294967294" count="1" selected="0">
            <x v="0"/>
          </reference>
          <reference field="0" count="1" selected="0">
            <x v="6"/>
          </reference>
        </references>
      </pivotArea>
    </chartFormat>
    <chartFormat chart="7" format="9" series="1">
      <pivotArea type="data" outline="0" fieldPosition="0">
        <references count="2">
          <reference field="4294967294" count="1" selected="0">
            <x v="0"/>
          </reference>
          <reference field="0" count="1" selected="0">
            <x v="3"/>
          </reference>
        </references>
      </pivotArea>
    </chartFormat>
    <chartFormat chart="6" format="7" series="1">
      <pivotArea type="data" outline="0" fieldPosition="0">
        <references count="2">
          <reference field="4294967294" count="1" selected="0">
            <x v="0"/>
          </reference>
          <reference field="0" count="1" selected="0">
            <x v="3"/>
          </reference>
        </references>
      </pivotArea>
    </chartFormat>
    <chartFormat chart="5" format="5" series="1">
      <pivotArea type="data" outline="0" fieldPosition="0">
        <references count="2">
          <reference field="4294967294" count="1" selected="0">
            <x v="0"/>
          </reference>
          <reference field="0" count="1" selected="0">
            <x v="3"/>
          </reference>
        </references>
      </pivotArea>
    </chartFormat>
    <chartFormat chart="7" format="10" series="1">
      <pivotArea type="data" outline="0" fieldPosition="0">
        <references count="2">
          <reference field="4294967294" count="1" selected="0">
            <x v="0"/>
          </reference>
          <reference field="0" count="1" selected="0">
            <x v="5"/>
          </reference>
        </references>
      </pivotArea>
    </chartFormat>
    <chartFormat chart="6" format="8" series="1">
      <pivotArea type="data" outline="0" fieldPosition="0">
        <references count="2">
          <reference field="4294967294" count="1" selected="0">
            <x v="0"/>
          </reference>
          <reference field="0" count="1" selected="0">
            <x v="5"/>
          </reference>
        </references>
      </pivotArea>
    </chartFormat>
    <chartFormat chart="5" format="6" series="1">
      <pivotArea type="data" outline="0" fieldPosition="0">
        <references count="2">
          <reference field="4294967294" count="1" selected="0">
            <x v="0"/>
          </reference>
          <reference field="0" count="1" selected="0">
            <x v="5"/>
          </reference>
        </references>
      </pivotArea>
    </chartFormat>
    <chartFormat chart="7" format="11" series="1">
      <pivotArea type="data" outline="0" fieldPosition="0">
        <references count="2">
          <reference field="4294967294" count="1" selected="0">
            <x v="0"/>
          </reference>
          <reference field="0" count="1" selected="0">
            <x v="4"/>
          </reference>
        </references>
      </pivotArea>
    </chartFormat>
    <chartFormat chart="7" format="12" series="1">
      <pivotArea type="data" outline="0" fieldPosition="0">
        <references count="2">
          <reference field="4294967294" count="1" selected="0">
            <x v="0"/>
          </reference>
          <reference field="0" count="1" selected="0">
            <x v="8"/>
          </reference>
        </references>
      </pivotArea>
    </chartFormat>
    <chartFormat chart="7" format="13" series="1">
      <pivotArea type="data" outline="0" fieldPosition="0">
        <references count="2">
          <reference field="4294967294" count="1" selected="0">
            <x v="0"/>
          </reference>
          <reference field="0" count="1" selected="0">
            <x v="9"/>
          </reference>
        </references>
      </pivotArea>
    </chartFormat>
    <chartFormat chart="7" format="14" series="1">
      <pivotArea type="data" outline="0" fieldPosition="0">
        <references count="2">
          <reference field="4294967294" count="1" selected="0">
            <x v="0"/>
          </reference>
          <reference field="0" count="1" selected="0">
            <x v="10"/>
          </reference>
        </references>
      </pivotArea>
    </chartFormat>
    <chartFormat chart="7" format="15" series="1">
      <pivotArea type="data" outline="0" fieldPosition="0">
        <references count="2">
          <reference field="4294967294" count="1" selected="0">
            <x v="0"/>
          </reference>
          <reference field="0" count="1" selected="0">
            <x v="11"/>
          </reference>
        </references>
      </pivotArea>
    </chartFormat>
    <chartFormat chart="7" format="16" series="1">
      <pivotArea type="data" outline="0" fieldPosition="0">
        <references count="2">
          <reference field="4294967294" count="1" selected="0">
            <x v="0"/>
          </reference>
          <reference field="0" count="1" selected="0">
            <x v="12"/>
          </reference>
        </references>
      </pivotArea>
    </chartFormat>
    <chartFormat chart="7" format="17" series="1">
      <pivotArea type="data" outline="0" fieldPosition="0">
        <references count="2">
          <reference field="4294967294" count="1" selected="0">
            <x v="0"/>
          </reference>
          <reference field="0" count="1" selected="0">
            <x v="13"/>
          </reference>
        </references>
      </pivotArea>
    </chartFormat>
    <chartFormat chart="7" format="18" series="1">
      <pivotArea type="data" outline="0" fieldPosition="0">
        <references count="2">
          <reference field="4294967294" count="1" selected="0">
            <x v="0"/>
          </reference>
          <reference field="0" count="1" selected="0">
            <x v="14"/>
          </reference>
        </references>
      </pivotArea>
    </chartFormat>
    <chartFormat chart="7" format="19" series="1">
      <pivotArea type="data" outline="0" fieldPosition="0">
        <references count="2">
          <reference field="4294967294" count="1" selected="0">
            <x v="0"/>
          </reference>
          <reference field="0" count="1" selected="0">
            <x v="15"/>
          </reference>
        </references>
      </pivotArea>
    </chartFormat>
    <chartFormat chart="7" format="20" series="1">
      <pivotArea type="data" outline="0" fieldPosition="0">
        <references count="2">
          <reference field="4294967294" count="1" selected="0">
            <x v="0"/>
          </reference>
          <reference field="0" count="1" selected="0">
            <x v="16"/>
          </reference>
        </references>
      </pivotArea>
    </chartFormat>
    <chartFormat chart="7" format="21" series="1">
      <pivotArea type="data" outline="0" fieldPosition="0">
        <references count="2">
          <reference field="4294967294" count="1" selected="0">
            <x v="0"/>
          </reference>
          <reference field="0" count="1" selected="0">
            <x v="17"/>
          </reference>
        </references>
      </pivotArea>
    </chartFormat>
    <chartFormat chart="7" format="22" series="1">
      <pivotArea type="data" outline="0" fieldPosition="0">
        <references count="2">
          <reference field="4294967294" count="1" selected="0">
            <x v="0"/>
          </reference>
          <reference field="0" count="1" selected="0">
            <x v="18"/>
          </reference>
        </references>
      </pivotArea>
    </chartFormat>
    <chartFormat chart="7" format="23" series="1">
      <pivotArea type="data" outline="0" fieldPosition="0">
        <references count="2">
          <reference field="4294967294" count="1" selected="0">
            <x v="0"/>
          </reference>
          <reference field="0" count="1" selected="0">
            <x v="19"/>
          </reference>
        </references>
      </pivotArea>
    </chartFormat>
    <chartFormat chart="7" format="24" series="1">
      <pivotArea type="data" outline="0" fieldPosition="0">
        <references count="2">
          <reference field="4294967294" count="1" selected="0">
            <x v="0"/>
          </reference>
          <reference field="0" count="1" selected="0">
            <x v="20"/>
          </reference>
        </references>
      </pivotArea>
    </chartFormat>
    <chartFormat chart="7" format="25" series="1">
      <pivotArea type="data" outline="0" fieldPosition="0">
        <references count="2">
          <reference field="4294967294" count="1" selected="0">
            <x v="0"/>
          </reference>
          <reference field="0" count="1" selected="0">
            <x v="21"/>
          </reference>
        </references>
      </pivotArea>
    </chartFormat>
    <chartFormat chart="7" format="26" series="1">
      <pivotArea type="data" outline="0" fieldPosition="0">
        <references count="2">
          <reference field="4294967294" count="1" selected="0">
            <x v="0"/>
          </reference>
          <reference field="0" count="1" selected="0">
            <x v="22"/>
          </reference>
        </references>
      </pivotArea>
    </chartFormat>
    <chartFormat chart="7" format="27" series="1">
      <pivotArea type="data" outline="0" fieldPosition="0">
        <references count="2">
          <reference field="4294967294" count="1" selected="0">
            <x v="0"/>
          </reference>
          <reference field="0" count="1" selected="0">
            <x v="23"/>
          </reference>
        </references>
      </pivotArea>
    </chartFormat>
    <chartFormat chart="7" format="28" series="1">
      <pivotArea type="data" outline="0" fieldPosition="0">
        <references count="2">
          <reference field="4294967294" count="1" selected="0">
            <x v="0"/>
          </reference>
          <reference field="0" count="1" selected="0">
            <x v="24"/>
          </reference>
        </references>
      </pivotArea>
    </chartFormat>
    <chartFormat chart="7" format="29" series="1">
      <pivotArea type="data" outline="0" fieldPosition="0">
        <references count="2">
          <reference field="4294967294" count="1" selected="0">
            <x v="0"/>
          </reference>
          <reference field="0" count="1" selected="0">
            <x v="25"/>
          </reference>
        </references>
      </pivotArea>
    </chartFormat>
    <chartFormat chart="7" format="30" series="1">
      <pivotArea type="data" outline="0" fieldPosition="0">
        <references count="2">
          <reference field="4294967294" count="1" selected="0">
            <x v="0"/>
          </reference>
          <reference field="0" count="1" selected="0">
            <x v="26"/>
          </reference>
        </references>
      </pivotArea>
    </chartFormat>
    <chartFormat chart="6" format="9" series="1">
      <pivotArea type="data" outline="0" fieldPosition="0">
        <references count="2">
          <reference field="4294967294" count="1" selected="0">
            <x v="0"/>
          </reference>
          <reference field="0" count="1" selected="0">
            <x v="4"/>
          </reference>
        </references>
      </pivotArea>
    </chartFormat>
    <chartFormat chart="6" format="10" series="1">
      <pivotArea type="data" outline="0" fieldPosition="0">
        <references count="2">
          <reference field="4294967294" count="1" selected="0">
            <x v="0"/>
          </reference>
          <reference field="0" count="1" selected="0">
            <x v="8"/>
          </reference>
        </references>
      </pivotArea>
    </chartFormat>
    <chartFormat chart="6" format="11" series="1">
      <pivotArea type="data" outline="0" fieldPosition="0">
        <references count="2">
          <reference field="4294967294" count="1" selected="0">
            <x v="0"/>
          </reference>
          <reference field="0" count="1" selected="0">
            <x v="9"/>
          </reference>
        </references>
      </pivotArea>
    </chartFormat>
    <chartFormat chart="6" format="12" series="1">
      <pivotArea type="data" outline="0" fieldPosition="0">
        <references count="2">
          <reference field="4294967294" count="1" selected="0">
            <x v="0"/>
          </reference>
          <reference field="0" count="1" selected="0">
            <x v="10"/>
          </reference>
        </references>
      </pivotArea>
    </chartFormat>
    <chartFormat chart="6" format="13" series="1">
      <pivotArea type="data" outline="0" fieldPosition="0">
        <references count="2">
          <reference field="4294967294" count="1" selected="0">
            <x v="0"/>
          </reference>
          <reference field="0" count="1" selected="0">
            <x v="11"/>
          </reference>
        </references>
      </pivotArea>
    </chartFormat>
    <chartFormat chart="6" format="14" series="1">
      <pivotArea type="data" outline="0" fieldPosition="0">
        <references count="2">
          <reference field="4294967294" count="1" selected="0">
            <x v="0"/>
          </reference>
          <reference field="0" count="1" selected="0">
            <x v="12"/>
          </reference>
        </references>
      </pivotArea>
    </chartFormat>
    <chartFormat chart="6" format="15" series="1">
      <pivotArea type="data" outline="0" fieldPosition="0">
        <references count="2">
          <reference field="4294967294" count="1" selected="0">
            <x v="0"/>
          </reference>
          <reference field="0" count="1" selected="0">
            <x v="13"/>
          </reference>
        </references>
      </pivotArea>
    </chartFormat>
    <chartFormat chart="6" format="16" series="1">
      <pivotArea type="data" outline="0" fieldPosition="0">
        <references count="2">
          <reference field="4294967294" count="1" selected="0">
            <x v="0"/>
          </reference>
          <reference field="0" count="1" selected="0">
            <x v="14"/>
          </reference>
        </references>
      </pivotArea>
    </chartFormat>
    <chartFormat chart="6" format="17" series="1">
      <pivotArea type="data" outline="0" fieldPosition="0">
        <references count="2">
          <reference field="4294967294" count="1" selected="0">
            <x v="0"/>
          </reference>
          <reference field="0" count="1" selected="0">
            <x v="15"/>
          </reference>
        </references>
      </pivotArea>
    </chartFormat>
    <chartFormat chart="6" format="18" series="1">
      <pivotArea type="data" outline="0" fieldPosition="0">
        <references count="2">
          <reference field="4294967294" count="1" selected="0">
            <x v="0"/>
          </reference>
          <reference field="0" count="1" selected="0">
            <x v="16"/>
          </reference>
        </references>
      </pivotArea>
    </chartFormat>
    <chartFormat chart="6" format="19" series="1">
      <pivotArea type="data" outline="0" fieldPosition="0">
        <references count="2">
          <reference field="4294967294" count="1" selected="0">
            <x v="0"/>
          </reference>
          <reference field="0" count="1" selected="0">
            <x v="17"/>
          </reference>
        </references>
      </pivotArea>
    </chartFormat>
    <chartFormat chart="6" format="20" series="1">
      <pivotArea type="data" outline="0" fieldPosition="0">
        <references count="2">
          <reference field="4294967294" count="1" selected="0">
            <x v="0"/>
          </reference>
          <reference field="0" count="1" selected="0">
            <x v="18"/>
          </reference>
        </references>
      </pivotArea>
    </chartFormat>
    <chartFormat chart="6" format="21" series="1">
      <pivotArea type="data" outline="0" fieldPosition="0">
        <references count="2">
          <reference field="4294967294" count="1" selected="0">
            <x v="0"/>
          </reference>
          <reference field="0" count="1" selected="0">
            <x v="19"/>
          </reference>
        </references>
      </pivotArea>
    </chartFormat>
    <chartFormat chart="6" format="22" series="1">
      <pivotArea type="data" outline="0" fieldPosition="0">
        <references count="2">
          <reference field="4294967294" count="1" selected="0">
            <x v="0"/>
          </reference>
          <reference field="0" count="1" selected="0">
            <x v="20"/>
          </reference>
        </references>
      </pivotArea>
    </chartFormat>
    <chartFormat chart="6" format="23" series="1">
      <pivotArea type="data" outline="0" fieldPosition="0">
        <references count="2">
          <reference field="4294967294" count="1" selected="0">
            <x v="0"/>
          </reference>
          <reference field="0" count="1" selected="0">
            <x v="21"/>
          </reference>
        </references>
      </pivotArea>
    </chartFormat>
    <chartFormat chart="6" format="24" series="1">
      <pivotArea type="data" outline="0" fieldPosition="0">
        <references count="2">
          <reference field="4294967294" count="1" selected="0">
            <x v="0"/>
          </reference>
          <reference field="0" count="1" selected="0">
            <x v="22"/>
          </reference>
        </references>
      </pivotArea>
    </chartFormat>
    <chartFormat chart="6" format="25" series="1">
      <pivotArea type="data" outline="0" fieldPosition="0">
        <references count="2">
          <reference field="4294967294" count="1" selected="0">
            <x v="0"/>
          </reference>
          <reference field="0" count="1" selected="0">
            <x v="23"/>
          </reference>
        </references>
      </pivotArea>
    </chartFormat>
    <chartFormat chart="6" format="26" series="1">
      <pivotArea type="data" outline="0" fieldPosition="0">
        <references count="2">
          <reference field="4294967294" count="1" selected="0">
            <x v="0"/>
          </reference>
          <reference field="0" count="1" selected="0">
            <x v="24"/>
          </reference>
        </references>
      </pivotArea>
    </chartFormat>
    <chartFormat chart="6" format="27" series="1">
      <pivotArea type="data" outline="0" fieldPosition="0">
        <references count="2">
          <reference field="4294967294" count="1" selected="0">
            <x v="0"/>
          </reference>
          <reference field="0" count="1" selected="0">
            <x v="25"/>
          </reference>
        </references>
      </pivotArea>
    </chartFormat>
    <chartFormat chart="6" format="28" series="1">
      <pivotArea type="data" outline="0" fieldPosition="0">
        <references count="2">
          <reference field="4294967294" count="1" selected="0">
            <x v="0"/>
          </reference>
          <reference field="0" count="1" selected="0">
            <x v="26"/>
          </reference>
        </references>
      </pivotArea>
    </chartFormat>
    <chartFormat chart="5" format="7" series="1">
      <pivotArea type="data" outline="0" fieldPosition="0">
        <references count="2">
          <reference field="4294967294" count="1" selected="0">
            <x v="0"/>
          </reference>
          <reference field="0" count="1" selected="0">
            <x v="4"/>
          </reference>
        </references>
      </pivotArea>
    </chartFormat>
    <chartFormat chart="5" format="8" series="1">
      <pivotArea type="data" outline="0" fieldPosition="0">
        <references count="2">
          <reference field="4294967294" count="1" selected="0">
            <x v="0"/>
          </reference>
          <reference field="0" count="1" selected="0">
            <x v="8"/>
          </reference>
        </references>
      </pivotArea>
    </chartFormat>
    <chartFormat chart="5" format="9" series="1">
      <pivotArea type="data" outline="0" fieldPosition="0">
        <references count="2">
          <reference field="4294967294" count="1" selected="0">
            <x v="0"/>
          </reference>
          <reference field="0" count="1" selected="0">
            <x v="9"/>
          </reference>
        </references>
      </pivotArea>
    </chartFormat>
    <chartFormat chart="5" format="10" series="1">
      <pivotArea type="data" outline="0" fieldPosition="0">
        <references count="2">
          <reference field="4294967294" count="1" selected="0">
            <x v="0"/>
          </reference>
          <reference field="0" count="1" selected="0">
            <x v="10"/>
          </reference>
        </references>
      </pivotArea>
    </chartFormat>
    <chartFormat chart="5" format="11" series="1">
      <pivotArea type="data" outline="0" fieldPosition="0">
        <references count="2">
          <reference field="4294967294" count="1" selected="0">
            <x v="0"/>
          </reference>
          <reference field="0" count="1" selected="0">
            <x v="11"/>
          </reference>
        </references>
      </pivotArea>
    </chartFormat>
    <chartFormat chart="5" format="12" series="1">
      <pivotArea type="data" outline="0" fieldPosition="0">
        <references count="2">
          <reference field="4294967294" count="1" selected="0">
            <x v="0"/>
          </reference>
          <reference field="0" count="1" selected="0">
            <x v="12"/>
          </reference>
        </references>
      </pivotArea>
    </chartFormat>
    <chartFormat chart="5" format="13" series="1">
      <pivotArea type="data" outline="0" fieldPosition="0">
        <references count="2">
          <reference field="4294967294" count="1" selected="0">
            <x v="0"/>
          </reference>
          <reference field="0" count="1" selected="0">
            <x v="13"/>
          </reference>
        </references>
      </pivotArea>
    </chartFormat>
    <chartFormat chart="5" format="14" series="1">
      <pivotArea type="data" outline="0" fieldPosition="0">
        <references count="2">
          <reference field="4294967294" count="1" selected="0">
            <x v="0"/>
          </reference>
          <reference field="0" count="1" selected="0">
            <x v="14"/>
          </reference>
        </references>
      </pivotArea>
    </chartFormat>
    <chartFormat chart="5" format="15" series="1">
      <pivotArea type="data" outline="0" fieldPosition="0">
        <references count="2">
          <reference field="4294967294" count="1" selected="0">
            <x v="0"/>
          </reference>
          <reference field="0" count="1" selected="0">
            <x v="15"/>
          </reference>
        </references>
      </pivotArea>
    </chartFormat>
    <chartFormat chart="5" format="16" series="1">
      <pivotArea type="data" outline="0" fieldPosition="0">
        <references count="2">
          <reference field="4294967294" count="1" selected="0">
            <x v="0"/>
          </reference>
          <reference field="0" count="1" selected="0">
            <x v="16"/>
          </reference>
        </references>
      </pivotArea>
    </chartFormat>
    <chartFormat chart="5" format="17" series="1">
      <pivotArea type="data" outline="0" fieldPosition="0">
        <references count="2">
          <reference field="4294967294" count="1" selected="0">
            <x v="0"/>
          </reference>
          <reference field="0" count="1" selected="0">
            <x v="17"/>
          </reference>
        </references>
      </pivotArea>
    </chartFormat>
    <chartFormat chart="5" format="18" series="1">
      <pivotArea type="data" outline="0" fieldPosition="0">
        <references count="2">
          <reference field="4294967294" count="1" selected="0">
            <x v="0"/>
          </reference>
          <reference field="0" count="1" selected="0">
            <x v="18"/>
          </reference>
        </references>
      </pivotArea>
    </chartFormat>
    <chartFormat chart="5" format="19" series="1">
      <pivotArea type="data" outline="0" fieldPosition="0">
        <references count="2">
          <reference field="4294967294" count="1" selected="0">
            <x v="0"/>
          </reference>
          <reference field="0" count="1" selected="0">
            <x v="19"/>
          </reference>
        </references>
      </pivotArea>
    </chartFormat>
    <chartFormat chart="5" format="20" series="1">
      <pivotArea type="data" outline="0" fieldPosition="0">
        <references count="2">
          <reference field="4294967294" count="1" selected="0">
            <x v="0"/>
          </reference>
          <reference field="0" count="1" selected="0">
            <x v="20"/>
          </reference>
        </references>
      </pivotArea>
    </chartFormat>
    <chartFormat chart="5" format="21" series="1">
      <pivotArea type="data" outline="0" fieldPosition="0">
        <references count="2">
          <reference field="4294967294" count="1" selected="0">
            <x v="0"/>
          </reference>
          <reference field="0" count="1" selected="0">
            <x v="21"/>
          </reference>
        </references>
      </pivotArea>
    </chartFormat>
    <chartFormat chart="5" format="22" series="1">
      <pivotArea type="data" outline="0" fieldPosition="0">
        <references count="2">
          <reference field="4294967294" count="1" selected="0">
            <x v="0"/>
          </reference>
          <reference field="0" count="1" selected="0">
            <x v="22"/>
          </reference>
        </references>
      </pivotArea>
    </chartFormat>
    <chartFormat chart="5" format="23" series="1">
      <pivotArea type="data" outline="0" fieldPosition="0">
        <references count="2">
          <reference field="4294967294" count="1" selected="0">
            <x v="0"/>
          </reference>
          <reference field="0" count="1" selected="0">
            <x v="23"/>
          </reference>
        </references>
      </pivotArea>
    </chartFormat>
    <chartFormat chart="5" format="24" series="1">
      <pivotArea type="data" outline="0" fieldPosition="0">
        <references count="2">
          <reference field="4294967294" count="1" selected="0">
            <x v="0"/>
          </reference>
          <reference field="0" count="1" selected="0">
            <x v="24"/>
          </reference>
        </references>
      </pivotArea>
    </chartFormat>
    <chartFormat chart="5" format="25" series="1">
      <pivotArea type="data" outline="0" fieldPosition="0">
        <references count="2">
          <reference field="4294967294" count="1" selected="0">
            <x v="0"/>
          </reference>
          <reference field="0" count="1" selected="0">
            <x v="25"/>
          </reference>
        </references>
      </pivotArea>
    </chartFormat>
    <chartFormat chart="5" format="26" series="1">
      <pivotArea type="data" outline="0" fieldPosition="0">
        <references count="2">
          <reference field="4294967294" count="1" selected="0">
            <x v="0"/>
          </reference>
          <reference field="0" count="1" selected="0">
            <x v="26"/>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4" dataOnRows="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A3:C16" firstHeaderRow="1" firstDataRow="2" firstDataCol="1"/>
  <pivotFields count="25">
    <pivotField axis="axisCol" showAll="0">
      <items count="28">
        <item h="1" x="18"/>
        <item h="1" x="5"/>
        <item h="1" x="12"/>
        <item h="1" x="9"/>
        <item h="1" x="8"/>
        <item h="1" x="10"/>
        <item h="1" x="13"/>
        <item h="1" x="6"/>
        <item h="1" x="16"/>
        <item x="0"/>
        <item h="1" x="2"/>
        <item h="1" x="23"/>
        <item h="1" x="25"/>
        <item h="1" x="11"/>
        <item h="1" x="14"/>
        <item h="1" x="7"/>
        <item h="1" x="17"/>
        <item h="1" x="1"/>
        <item h="1" x="3"/>
        <item h="1" x="24"/>
        <item h="1" x="26"/>
        <item h="1" x="15"/>
        <item h="1" x="4"/>
        <item h="1" x="19"/>
        <item h="1" x="20"/>
        <item h="1" x="21"/>
        <item h="1" x="22"/>
        <item t="default"/>
      </items>
    </pivotField>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s>
  <rowFields count="1">
    <field x="-2"/>
  </rowFields>
  <rowItems count="12">
    <i>
      <x/>
    </i>
    <i i="1">
      <x v="1"/>
    </i>
    <i i="2">
      <x v="2"/>
    </i>
    <i i="3">
      <x v="3"/>
    </i>
    <i i="4">
      <x v="4"/>
    </i>
    <i i="5">
      <x v="5"/>
    </i>
    <i i="6">
      <x v="6"/>
    </i>
    <i i="7">
      <x v="7"/>
    </i>
    <i i="8">
      <x v="8"/>
    </i>
    <i i="9">
      <x v="9"/>
    </i>
    <i i="10">
      <x v="10"/>
    </i>
    <i i="11">
      <x v="11"/>
    </i>
  </rowItems>
  <colFields count="1">
    <field x="0"/>
  </colFields>
  <colItems count="2">
    <i>
      <x v="9"/>
    </i>
    <i t="grand">
      <x/>
    </i>
  </colItems>
  <dataFields count="12">
    <dataField name="Jan-Vel " fld="1" baseField="0" baseItem="0"/>
    <dataField name="Feb-Vel " fld="3" baseField="0" baseItem="0"/>
    <dataField name="Mar-Vel " fld="5" baseField="0" baseItem="0"/>
    <dataField name="Apr-Vel " fld="7" baseField="0" baseItem="0"/>
    <dataField name="May-Vel " fld="9" baseField="0" baseItem="0"/>
    <dataField name="Jun-Vel " fld="11" baseField="0" baseItem="0"/>
    <dataField name="Jul-Vel " fld="13" baseField="0" baseItem="0"/>
    <dataField name="Aug-Vel " fld="15" baseField="0" baseItem="0"/>
    <dataField name="Sep-Vel " fld="17" baseField="0" baseItem="0"/>
    <dataField name="Oct-Vel " fld="19" baseField="0" baseItem="0"/>
    <dataField name="Nov-Vel " fld="21" baseField="0" baseItem="0"/>
    <dataField name="Dec-Vel " fld="23" baseField="0" baseItem="0"/>
  </dataFields>
  <chartFormats count="6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series="1">
      <pivotArea type="data" outline="0" fieldPosition="0">
        <references count="1">
          <reference field="4294967294"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series="1">
      <pivotArea type="data" outline="0" fieldPosition="0">
        <references count="2">
          <reference field="4294967294" count="1" selected="0">
            <x v="0"/>
          </reference>
          <reference field="0" count="1" selected="0">
            <x v="16"/>
          </reference>
        </references>
      </pivotArea>
    </chartFormat>
    <chartFormat chart="0" format="17" series="1">
      <pivotArea type="data" outline="0" fieldPosition="0">
        <references count="2">
          <reference field="4294967294" count="1" selected="0">
            <x v="0"/>
          </reference>
          <reference field="0" count="1" selected="0">
            <x v="17"/>
          </reference>
        </references>
      </pivotArea>
    </chartFormat>
    <chartFormat chart="0" format="18" series="1">
      <pivotArea type="data" outline="0" fieldPosition="0">
        <references count="2">
          <reference field="4294967294" count="1" selected="0">
            <x v="0"/>
          </reference>
          <reference field="0" count="1" selected="0">
            <x v="18"/>
          </reference>
        </references>
      </pivotArea>
    </chartFormat>
    <chartFormat chart="0" format="19" series="1">
      <pivotArea type="data" outline="0" fieldPosition="0">
        <references count="2">
          <reference field="4294967294" count="1" selected="0">
            <x v="0"/>
          </reference>
          <reference field="0" count="1" selected="0">
            <x v="19"/>
          </reference>
        </references>
      </pivotArea>
    </chartFormat>
    <chartFormat chart="0" format="20" series="1">
      <pivotArea type="data" outline="0" fieldPosition="0">
        <references count="2">
          <reference field="4294967294" count="1" selected="0">
            <x v="0"/>
          </reference>
          <reference field="0" count="1" selected="0">
            <x v="20"/>
          </reference>
        </references>
      </pivotArea>
    </chartFormat>
    <chartFormat chart="0" format="21" series="1">
      <pivotArea type="data" outline="0" fieldPosition="0">
        <references count="2">
          <reference field="4294967294" count="1" selected="0">
            <x v="0"/>
          </reference>
          <reference field="0" count="1" selected="0">
            <x v="21"/>
          </reference>
        </references>
      </pivotArea>
    </chartFormat>
    <chartFormat chart="0" format="22" series="1">
      <pivotArea type="data" outline="0" fieldPosition="0">
        <references count="2">
          <reference field="4294967294" count="1" selected="0">
            <x v="0"/>
          </reference>
          <reference field="0" count="1" selected="0">
            <x v="22"/>
          </reference>
        </references>
      </pivotArea>
    </chartFormat>
    <chartFormat chart="0" format="23" series="1">
      <pivotArea type="data" outline="0" fieldPosition="0">
        <references count="2">
          <reference field="4294967294" count="1" selected="0">
            <x v="0"/>
          </reference>
          <reference field="0" count="1" selected="0">
            <x v="23"/>
          </reference>
        </references>
      </pivotArea>
    </chartFormat>
    <chartFormat chart="0" format="24" series="1">
      <pivotArea type="data" outline="0" fieldPosition="0">
        <references count="2">
          <reference field="4294967294" count="1" selected="0">
            <x v="0"/>
          </reference>
          <reference field="0" count="1" selected="0">
            <x v="24"/>
          </reference>
        </references>
      </pivotArea>
    </chartFormat>
    <chartFormat chart="0" format="25" series="1">
      <pivotArea type="data" outline="0" fieldPosition="0">
        <references count="2">
          <reference field="4294967294" count="1" selected="0">
            <x v="0"/>
          </reference>
          <reference field="0" count="1" selected="0">
            <x v="25"/>
          </reference>
        </references>
      </pivotArea>
    </chartFormat>
    <chartFormat chart="0" format="26" series="1">
      <pivotArea type="data" outline="0" fieldPosition="0">
        <references count="2">
          <reference field="4294967294" count="1" selected="0">
            <x v="0"/>
          </reference>
          <reference field="0" count="1" selected="0">
            <x v="26"/>
          </reference>
        </references>
      </pivotArea>
    </chartFormat>
    <chartFormat chart="2" format="54" series="1">
      <pivotArea type="data" outline="0" fieldPosition="0">
        <references count="2">
          <reference field="4294967294" count="1" selected="0">
            <x v="0"/>
          </reference>
          <reference field="0" count="1" selected="0">
            <x v="0"/>
          </reference>
        </references>
      </pivotArea>
    </chartFormat>
    <chartFormat chart="2" format="55" series="1">
      <pivotArea type="data" outline="0" fieldPosition="0">
        <references count="2">
          <reference field="4294967294" count="1" selected="0">
            <x v="0"/>
          </reference>
          <reference field="0" count="1" selected="0">
            <x v="1"/>
          </reference>
        </references>
      </pivotArea>
    </chartFormat>
    <chartFormat chart="2" format="56" series="1">
      <pivotArea type="data" outline="0" fieldPosition="0">
        <references count="2">
          <reference field="4294967294" count="1" selected="0">
            <x v="0"/>
          </reference>
          <reference field="0" count="1" selected="0">
            <x v="2"/>
          </reference>
        </references>
      </pivotArea>
    </chartFormat>
    <chartFormat chart="2" format="57" series="1">
      <pivotArea type="data" outline="0" fieldPosition="0">
        <references count="2">
          <reference field="4294967294" count="1" selected="0">
            <x v="0"/>
          </reference>
          <reference field="0" count="1" selected="0">
            <x v="3"/>
          </reference>
        </references>
      </pivotArea>
    </chartFormat>
    <chartFormat chart="2" format="58" series="1">
      <pivotArea type="data" outline="0" fieldPosition="0">
        <references count="2">
          <reference field="4294967294" count="1" selected="0">
            <x v="0"/>
          </reference>
          <reference field="0" count="1" selected="0">
            <x v="4"/>
          </reference>
        </references>
      </pivotArea>
    </chartFormat>
    <chartFormat chart="2" format="59" series="1">
      <pivotArea type="data" outline="0" fieldPosition="0">
        <references count="2">
          <reference field="4294967294" count="1" selected="0">
            <x v="0"/>
          </reference>
          <reference field="0" count="1" selected="0">
            <x v="5"/>
          </reference>
        </references>
      </pivotArea>
    </chartFormat>
    <chartFormat chart="2" format="60" series="1">
      <pivotArea type="data" outline="0" fieldPosition="0">
        <references count="2">
          <reference field="4294967294" count="1" selected="0">
            <x v="0"/>
          </reference>
          <reference field="0" count="1" selected="0">
            <x v="6"/>
          </reference>
        </references>
      </pivotArea>
    </chartFormat>
    <chartFormat chart="2" format="61" series="1">
      <pivotArea type="data" outline="0" fieldPosition="0">
        <references count="2">
          <reference field="4294967294" count="1" selected="0">
            <x v="0"/>
          </reference>
          <reference field="0" count="1" selected="0">
            <x v="7"/>
          </reference>
        </references>
      </pivotArea>
    </chartFormat>
    <chartFormat chart="2" format="62" series="1">
      <pivotArea type="data" outline="0" fieldPosition="0">
        <references count="2">
          <reference field="4294967294" count="1" selected="0">
            <x v="0"/>
          </reference>
          <reference field="0" count="1" selected="0">
            <x v="8"/>
          </reference>
        </references>
      </pivotArea>
    </chartFormat>
    <chartFormat chart="2" format="63" series="1">
      <pivotArea type="data" outline="0" fieldPosition="0">
        <references count="2">
          <reference field="4294967294" count="1" selected="0">
            <x v="0"/>
          </reference>
          <reference field="0" count="1" selected="0">
            <x v="9"/>
          </reference>
        </references>
      </pivotArea>
    </chartFormat>
    <chartFormat chart="2" format="64" series="1">
      <pivotArea type="data" outline="0" fieldPosition="0">
        <references count="2">
          <reference field="4294967294" count="1" selected="0">
            <x v="0"/>
          </reference>
          <reference field="0" count="1" selected="0">
            <x v="10"/>
          </reference>
        </references>
      </pivotArea>
    </chartFormat>
    <chartFormat chart="2" format="65" series="1">
      <pivotArea type="data" outline="0" fieldPosition="0">
        <references count="2">
          <reference field="4294967294" count="1" selected="0">
            <x v="0"/>
          </reference>
          <reference field="0" count="1" selected="0">
            <x v="11"/>
          </reference>
        </references>
      </pivotArea>
    </chartFormat>
    <chartFormat chart="2" format="66" series="1">
      <pivotArea type="data" outline="0" fieldPosition="0">
        <references count="2">
          <reference field="4294967294" count="1" selected="0">
            <x v="0"/>
          </reference>
          <reference field="0" count="1" selected="0">
            <x v="12"/>
          </reference>
        </references>
      </pivotArea>
    </chartFormat>
    <chartFormat chart="2" format="67" series="1">
      <pivotArea type="data" outline="0" fieldPosition="0">
        <references count="2">
          <reference field="4294967294" count="1" selected="0">
            <x v="0"/>
          </reference>
          <reference field="0" count="1" selected="0">
            <x v="13"/>
          </reference>
        </references>
      </pivotArea>
    </chartFormat>
    <chartFormat chart="2" format="68" series="1">
      <pivotArea type="data" outline="0" fieldPosition="0">
        <references count="2">
          <reference field="4294967294" count="1" selected="0">
            <x v="0"/>
          </reference>
          <reference field="0" count="1" selected="0">
            <x v="14"/>
          </reference>
        </references>
      </pivotArea>
    </chartFormat>
    <chartFormat chart="2" format="69" series="1">
      <pivotArea type="data" outline="0" fieldPosition="0">
        <references count="2">
          <reference field="4294967294" count="1" selected="0">
            <x v="0"/>
          </reference>
          <reference field="0" count="1" selected="0">
            <x v="15"/>
          </reference>
        </references>
      </pivotArea>
    </chartFormat>
    <chartFormat chart="2" format="70" series="1">
      <pivotArea type="data" outline="0" fieldPosition="0">
        <references count="2">
          <reference field="4294967294" count="1" selected="0">
            <x v="0"/>
          </reference>
          <reference field="0" count="1" selected="0">
            <x v="16"/>
          </reference>
        </references>
      </pivotArea>
    </chartFormat>
    <chartFormat chart="2" format="71" series="1">
      <pivotArea type="data" outline="0" fieldPosition="0">
        <references count="2">
          <reference field="4294967294" count="1" selected="0">
            <x v="0"/>
          </reference>
          <reference field="0" count="1" selected="0">
            <x v="17"/>
          </reference>
        </references>
      </pivotArea>
    </chartFormat>
    <chartFormat chart="2" format="72" series="1">
      <pivotArea type="data" outline="0" fieldPosition="0">
        <references count="2">
          <reference field="4294967294" count="1" selected="0">
            <x v="0"/>
          </reference>
          <reference field="0" count="1" selected="0">
            <x v="18"/>
          </reference>
        </references>
      </pivotArea>
    </chartFormat>
    <chartFormat chart="2" format="73" series="1">
      <pivotArea type="data" outline="0" fieldPosition="0">
        <references count="2">
          <reference field="4294967294" count="1" selected="0">
            <x v="0"/>
          </reference>
          <reference field="0" count="1" selected="0">
            <x v="19"/>
          </reference>
        </references>
      </pivotArea>
    </chartFormat>
    <chartFormat chart="2" format="74" series="1">
      <pivotArea type="data" outline="0" fieldPosition="0">
        <references count="2">
          <reference field="4294967294" count="1" selected="0">
            <x v="0"/>
          </reference>
          <reference field="0" count="1" selected="0">
            <x v="20"/>
          </reference>
        </references>
      </pivotArea>
    </chartFormat>
    <chartFormat chart="2" format="75" series="1">
      <pivotArea type="data" outline="0" fieldPosition="0">
        <references count="2">
          <reference field="4294967294" count="1" selected="0">
            <x v="0"/>
          </reference>
          <reference field="0" count="1" selected="0">
            <x v="21"/>
          </reference>
        </references>
      </pivotArea>
    </chartFormat>
    <chartFormat chart="2" format="76" series="1">
      <pivotArea type="data" outline="0" fieldPosition="0">
        <references count="2">
          <reference field="4294967294" count="1" selected="0">
            <x v="0"/>
          </reference>
          <reference field="0" count="1" selected="0">
            <x v="22"/>
          </reference>
        </references>
      </pivotArea>
    </chartFormat>
    <chartFormat chart="2" format="77" series="1">
      <pivotArea type="data" outline="0" fieldPosition="0">
        <references count="2">
          <reference field="4294967294" count="1" selected="0">
            <x v="0"/>
          </reference>
          <reference field="0" count="1" selected="0">
            <x v="23"/>
          </reference>
        </references>
      </pivotArea>
    </chartFormat>
    <chartFormat chart="2" format="78" series="1">
      <pivotArea type="data" outline="0" fieldPosition="0">
        <references count="2">
          <reference field="4294967294" count="1" selected="0">
            <x v="0"/>
          </reference>
          <reference field="0" count="1" selected="0">
            <x v="24"/>
          </reference>
        </references>
      </pivotArea>
    </chartFormat>
    <chartFormat chart="2" format="79" series="1">
      <pivotArea type="data" outline="0" fieldPosition="0">
        <references count="2">
          <reference field="4294967294" count="1" selected="0">
            <x v="0"/>
          </reference>
          <reference field="0" count="1" selected="0">
            <x v="25"/>
          </reference>
        </references>
      </pivotArea>
    </chartFormat>
    <chartFormat chart="2" format="80" series="1">
      <pivotArea type="data" outline="0" fieldPosition="0">
        <references count="2">
          <reference field="4294967294" count="1" selected="0">
            <x v="0"/>
          </reference>
          <reference field="0" count="1" selected="0">
            <x v="26"/>
          </reference>
        </references>
      </pivotArea>
    </chartFormat>
    <chartFormat chart="0" format="27" series="1">
      <pivotArea type="data" outline="0" fieldPosition="0">
        <references count="2">
          <reference field="4294967294" count="1" selected="0">
            <x v="0"/>
          </reference>
          <reference field="0" count="1" selected="0">
            <x v="1"/>
          </reference>
        </references>
      </pivotArea>
    </chartFormat>
    <chartFormat chart="0" format="28" series="1">
      <pivotArea type="data" outline="0" fieldPosition="0">
        <references count="2">
          <reference field="4294967294" count="1" selected="0">
            <x v="0"/>
          </reference>
          <reference field="0" count="1" selected="0">
            <x v="5"/>
          </reference>
        </references>
      </pivotArea>
    </chartFormat>
    <chartFormat chart="0" format="29" series="1">
      <pivotArea type="data" outline="0" fieldPosition="0">
        <references count="2">
          <reference field="4294967294" count="1" selected="0">
            <x v="0"/>
          </reference>
          <reference field="0" count="1" selected="0">
            <x v="2"/>
          </reference>
        </references>
      </pivotArea>
    </chartFormat>
    <chartFormat chart="0" format="30" series="1">
      <pivotArea type="data" outline="0" fieldPosition="0">
        <references count="2">
          <reference field="4294967294" count="1" selected="0">
            <x v="0"/>
          </reference>
          <reference field="0" count="1" selected="0">
            <x v="3"/>
          </reference>
        </references>
      </pivotArea>
    </chartFormat>
    <chartFormat chart="0" format="31" series="1">
      <pivotArea type="data" outline="0" fieldPosition="0">
        <references count="2">
          <reference field="4294967294" count="1" selected="0">
            <x v="0"/>
          </reference>
          <reference field="0" count="1" selected="0">
            <x v="4"/>
          </reference>
        </references>
      </pivotArea>
    </chartFormat>
    <chartFormat chart="0" format="32" series="1">
      <pivotArea type="data" outline="0" fieldPosition="0">
        <references count="2">
          <reference field="4294967294" count="1" selected="0">
            <x v="0"/>
          </reference>
          <reference field="0" count="1" selected="0">
            <x v="6"/>
          </reference>
        </references>
      </pivotArea>
    </chartFormat>
    <chartFormat chart="0" format="33" series="1">
      <pivotArea type="data" outline="0" fieldPosition="0">
        <references count="2">
          <reference field="4294967294" count="1" selected="0">
            <x v="0"/>
          </reference>
          <reference field="0" count="1" selected="0">
            <x v="7"/>
          </reference>
        </references>
      </pivotArea>
    </chartFormat>
    <chartFormat chart="0" format="34" series="1">
      <pivotArea type="data" outline="0" fieldPosition="0">
        <references count="2">
          <reference field="4294967294" count="1" selected="0">
            <x v="0"/>
          </reference>
          <reference field="0" count="1" selected="0">
            <x v="8"/>
          </reference>
        </references>
      </pivotArea>
    </chartFormat>
    <chartFormat chart="0" format="35" series="1">
      <pivotArea type="data" outline="0" fieldPosition="0">
        <references count="2">
          <reference field="4294967294" count="1" selected="0">
            <x v="0"/>
          </reference>
          <reference field="0" count="1" selected="0">
            <x v="9"/>
          </reference>
        </references>
      </pivotArea>
    </chartFormat>
    <chartFormat chart="0" format="36" series="1">
      <pivotArea type="data" outline="0" fieldPosition="0">
        <references count="2">
          <reference field="4294967294" count="1" selected="0">
            <x v="0"/>
          </reference>
          <reference field="0" count="1" selected="0">
            <x v="10"/>
          </reference>
        </references>
      </pivotArea>
    </chartFormat>
    <chartFormat chart="0" format="37" series="1">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tor" xr10:uid="{00000000-0013-0000-FFFF-FFFF01000000}" sourceName="Motor">
  <data>
    <tabular pivotCacheId="1071747467">
      <items count="27">
        <i x="18"/>
        <i x="5" s="1"/>
        <i x="12"/>
        <i x="9"/>
        <i x="8"/>
        <i x="10"/>
        <i x="13"/>
        <i x="6"/>
        <i x="16"/>
        <i x="0"/>
        <i x="2"/>
        <i x="23"/>
        <i x="25"/>
        <i x="11"/>
        <i x="14"/>
        <i x="7"/>
        <i x="17"/>
        <i x="1"/>
        <i x="3"/>
        <i x="24"/>
        <i x="26"/>
        <i x="15"/>
        <i x="4"/>
        <i x="19"/>
        <i x="20"/>
        <i x="21"/>
        <i x="2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tor" xr10:uid="{00000000-0014-0000-FFFF-FFFF01000000}" cache="Slicer_Motor" caption="Moto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6"/>
  <sheetViews>
    <sheetView showGridLines="0" topLeftCell="A4" zoomScale="70" zoomScaleNormal="70" workbookViewId="0">
      <selection activeCell="S14" sqref="S14"/>
    </sheetView>
  </sheetViews>
  <sheetFormatPr defaultColWidth="15.7109375" defaultRowHeight="15" x14ac:dyDescent="0.25"/>
  <cols>
    <col min="2" max="2" width="40.42578125" bestFit="1" customWidth="1"/>
    <col min="3" max="3" width="21.28515625" customWidth="1"/>
    <col min="4" max="4" width="11" customWidth="1"/>
    <col min="5" max="5" width="13.140625" customWidth="1"/>
    <col min="6" max="6" width="16.140625" customWidth="1"/>
    <col min="7" max="7" width="11" customWidth="1"/>
    <col min="8" max="8" width="12.85546875" customWidth="1"/>
    <col min="10" max="11" width="12.85546875" customWidth="1"/>
    <col min="13" max="13" width="10.140625" customWidth="1"/>
    <col min="14" max="14" width="13.85546875" customWidth="1"/>
    <col min="16" max="16" width="10.28515625" customWidth="1"/>
    <col min="17" max="17" width="13.140625" customWidth="1"/>
    <col min="18" max="18" width="15.7109375" customWidth="1"/>
    <col min="19" max="19" width="10" customWidth="1"/>
    <col min="22" max="22" width="10.7109375" customWidth="1"/>
    <col min="24" max="24" width="15.85546875" customWidth="1"/>
    <col min="26" max="26" width="13.85546875" customWidth="1"/>
    <col min="28" max="28" width="11.140625" customWidth="1"/>
    <col min="30" max="30" width="15.42578125" customWidth="1"/>
    <col min="31" max="31" width="10.7109375" customWidth="1"/>
    <col min="32" max="32" width="12.42578125" customWidth="1"/>
    <col min="34" max="34" width="11.42578125" customWidth="1"/>
    <col min="37" max="37" width="10.42578125" customWidth="1"/>
  </cols>
  <sheetData>
    <row r="1" spans="1:39" x14ac:dyDescent="0.25">
      <c r="A1" s="37" t="s">
        <v>0</v>
      </c>
      <c r="B1" s="37"/>
      <c r="C1" s="37"/>
      <c r="D1" s="37"/>
      <c r="E1" s="37"/>
      <c r="F1" s="37"/>
      <c r="G1" s="37"/>
      <c r="H1" s="37"/>
      <c r="I1" s="37"/>
      <c r="J1" s="37"/>
      <c r="K1" s="37"/>
      <c r="L1" s="37"/>
      <c r="M1" s="37"/>
      <c r="N1" s="37"/>
      <c r="O1" s="37"/>
    </row>
    <row r="2" spans="1:39" x14ac:dyDescent="0.25">
      <c r="A2" s="37"/>
      <c r="B2" s="37"/>
      <c r="C2" s="37"/>
      <c r="D2" s="37"/>
      <c r="E2" s="37"/>
      <c r="F2" s="37"/>
      <c r="G2" s="37"/>
      <c r="H2" s="37"/>
      <c r="I2" s="37"/>
      <c r="J2" s="37"/>
      <c r="K2" s="37"/>
      <c r="L2" s="37"/>
      <c r="M2" s="37"/>
      <c r="N2" s="37"/>
      <c r="O2" s="37"/>
    </row>
    <row r="3" spans="1:39" ht="160.5" customHeight="1" x14ac:dyDescent="0.25">
      <c r="A3" s="40" t="s">
        <v>140</v>
      </c>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row>
    <row r="5" spans="1:39" s="17" customFormat="1" ht="71.25" customHeight="1" x14ac:dyDescent="0.25">
      <c r="A5" s="14" t="s">
        <v>28</v>
      </c>
      <c r="B5" s="15" t="s">
        <v>13</v>
      </c>
      <c r="C5" s="15" t="s">
        <v>124</v>
      </c>
      <c r="D5" s="16" t="s">
        <v>85</v>
      </c>
      <c r="E5" s="16" t="s">
        <v>86</v>
      </c>
      <c r="F5" s="16" t="s">
        <v>125</v>
      </c>
      <c r="G5" s="15" t="s">
        <v>87</v>
      </c>
      <c r="H5" s="15" t="s">
        <v>88</v>
      </c>
      <c r="I5" s="16" t="s">
        <v>129</v>
      </c>
      <c r="J5" s="15" t="s">
        <v>89</v>
      </c>
      <c r="K5" s="15" t="s">
        <v>90</v>
      </c>
      <c r="L5" s="16" t="s">
        <v>130</v>
      </c>
      <c r="M5" s="15" t="s">
        <v>91</v>
      </c>
      <c r="N5" s="16" t="s">
        <v>92</v>
      </c>
      <c r="O5" s="16" t="s">
        <v>131</v>
      </c>
      <c r="P5" s="15" t="s">
        <v>93</v>
      </c>
      <c r="Q5" s="16" t="s">
        <v>94</v>
      </c>
      <c r="R5" s="16" t="s">
        <v>132</v>
      </c>
      <c r="S5" s="15" t="s">
        <v>96</v>
      </c>
      <c r="T5" s="16" t="s">
        <v>95</v>
      </c>
      <c r="U5" s="16" t="s">
        <v>133</v>
      </c>
      <c r="V5" s="15" t="s">
        <v>97</v>
      </c>
      <c r="W5" s="16" t="s">
        <v>98</v>
      </c>
      <c r="X5" s="16" t="s">
        <v>134</v>
      </c>
      <c r="Y5" s="15" t="s">
        <v>99</v>
      </c>
      <c r="Z5" s="16" t="s">
        <v>100</v>
      </c>
      <c r="AA5" s="16" t="s">
        <v>135</v>
      </c>
      <c r="AB5" s="15" t="s">
        <v>101</v>
      </c>
      <c r="AC5" s="15" t="s">
        <v>102</v>
      </c>
      <c r="AD5" s="16" t="s">
        <v>136</v>
      </c>
      <c r="AE5" s="15" t="s">
        <v>103</v>
      </c>
      <c r="AF5" s="15" t="s">
        <v>104</v>
      </c>
      <c r="AG5" s="16" t="s">
        <v>137</v>
      </c>
      <c r="AH5" s="15" t="s">
        <v>105</v>
      </c>
      <c r="AI5" s="15" t="s">
        <v>106</v>
      </c>
      <c r="AJ5" s="16" t="s">
        <v>138</v>
      </c>
      <c r="AK5" s="15" t="s">
        <v>107</v>
      </c>
      <c r="AL5" s="15" t="s">
        <v>108</v>
      </c>
      <c r="AM5" s="16" t="s">
        <v>139</v>
      </c>
    </row>
    <row r="6" spans="1:39" s="23" customFormat="1" ht="18.75" x14ac:dyDescent="0.3">
      <c r="A6" s="18"/>
      <c r="B6" s="19" t="s">
        <v>14</v>
      </c>
      <c r="C6" s="19">
        <v>25</v>
      </c>
      <c r="D6" s="20">
        <v>25</v>
      </c>
      <c r="E6" s="21"/>
      <c r="F6" s="31"/>
      <c r="G6" s="22">
        <v>38</v>
      </c>
      <c r="H6" s="21"/>
      <c r="I6" s="31"/>
      <c r="J6" s="22">
        <v>28</v>
      </c>
      <c r="K6" s="21"/>
      <c r="L6" s="31"/>
      <c r="M6" s="20">
        <v>32</v>
      </c>
      <c r="N6" s="21"/>
      <c r="O6" s="31"/>
      <c r="P6" s="22">
        <v>28</v>
      </c>
      <c r="Q6" s="21"/>
      <c r="R6" s="31"/>
      <c r="S6" s="22">
        <v>32</v>
      </c>
      <c r="T6" s="21"/>
      <c r="U6" s="31"/>
      <c r="V6" s="22"/>
      <c r="W6" s="21"/>
      <c r="X6" s="31"/>
      <c r="Y6" s="22"/>
      <c r="Z6" s="21"/>
      <c r="AA6" s="31"/>
      <c r="AB6" s="22"/>
      <c r="AC6" s="21"/>
      <c r="AD6" s="31"/>
      <c r="AE6" s="22"/>
      <c r="AF6" s="21"/>
      <c r="AG6" s="31"/>
      <c r="AH6" s="22"/>
      <c r="AI6" s="21"/>
      <c r="AJ6" s="31"/>
      <c r="AK6" s="22"/>
      <c r="AL6" s="21"/>
      <c r="AM6" s="31"/>
    </row>
    <row r="7" spans="1:39" s="27" customFormat="1" x14ac:dyDescent="0.25">
      <c r="A7" s="24">
        <v>1</v>
      </c>
      <c r="B7" s="19" t="s">
        <v>15</v>
      </c>
      <c r="C7" s="19">
        <v>50</v>
      </c>
      <c r="D7" s="25">
        <v>38</v>
      </c>
      <c r="E7" s="26">
        <f>D7-D$6</f>
        <v>13</v>
      </c>
      <c r="F7" s="30">
        <f>IFERROR((D7/D$6)*$C$6,0)</f>
        <v>38</v>
      </c>
      <c r="G7" s="25">
        <v>44</v>
      </c>
      <c r="H7" s="26">
        <f>G7-G$6</f>
        <v>6</v>
      </c>
      <c r="I7" s="30">
        <f>IFERROR((G7/G$6)*$C$6,0)</f>
        <v>28.947368421052634</v>
      </c>
      <c r="J7" s="25">
        <v>37</v>
      </c>
      <c r="K7" s="26">
        <f>J7-J$6</f>
        <v>9</v>
      </c>
      <c r="L7" s="30">
        <f>IFERROR((J7/J$6)*$C$6,0)</f>
        <v>33.035714285714285</v>
      </c>
      <c r="M7" s="25">
        <v>43</v>
      </c>
      <c r="N7" s="26">
        <f>M7-M$6</f>
        <v>11</v>
      </c>
      <c r="O7" s="30">
        <f>IFERROR((M7/M$6)*$C$6,0)</f>
        <v>33.59375</v>
      </c>
      <c r="P7" s="25">
        <v>42</v>
      </c>
      <c r="Q7" s="26">
        <f>P7-P$6</f>
        <v>14</v>
      </c>
      <c r="R7" s="30">
        <f>IFERROR((P7/P$6)*$C$6,0)</f>
        <v>37.5</v>
      </c>
      <c r="S7" s="25">
        <v>44</v>
      </c>
      <c r="T7" s="26">
        <f>S7-S$6</f>
        <v>12</v>
      </c>
      <c r="U7" s="30">
        <f>IFERROR((S7/S$6)*$C$6,0)</f>
        <v>34.375</v>
      </c>
      <c r="V7" s="25"/>
      <c r="W7" s="26">
        <f>V7-V$6</f>
        <v>0</v>
      </c>
      <c r="X7" s="30">
        <f>IFERROR((V7/V$6)*$C$6,0)</f>
        <v>0</v>
      </c>
      <c r="Y7" s="25"/>
      <c r="Z7" s="26">
        <f>Y7-Y$6</f>
        <v>0</v>
      </c>
      <c r="AA7" s="30">
        <f>IFERROR((Y7/Y$6)*$C$6,0)</f>
        <v>0</v>
      </c>
      <c r="AB7" s="25"/>
      <c r="AC7" s="26">
        <f>AB7-AB$6</f>
        <v>0</v>
      </c>
      <c r="AD7" s="30">
        <f>IFERROR((AB7/AB$6)*$C$6,0)</f>
        <v>0</v>
      </c>
      <c r="AE7" s="25"/>
      <c r="AF7" s="26">
        <f>AE7-AE$6</f>
        <v>0</v>
      </c>
      <c r="AG7" s="30">
        <f>IFERROR((AE7/AE$6)*$C$6,0)</f>
        <v>0</v>
      </c>
      <c r="AH7" s="25"/>
      <c r="AI7" s="26">
        <f>AH7-AH$6</f>
        <v>0</v>
      </c>
      <c r="AJ7" s="30">
        <f>IFERROR((AH7/AH$6)*$C$6,0)</f>
        <v>0</v>
      </c>
      <c r="AK7" s="25"/>
      <c r="AL7" s="26">
        <f>AK7-AK$6</f>
        <v>0</v>
      </c>
      <c r="AM7" s="30">
        <f>IFERROR((AK7/AK$6)*$C$6,0)</f>
        <v>0</v>
      </c>
    </row>
    <row r="8" spans="1:39" s="27" customFormat="1" x14ac:dyDescent="0.25">
      <c r="A8" s="24">
        <v>2</v>
      </c>
      <c r="B8" s="19" t="s">
        <v>16</v>
      </c>
      <c r="C8" s="19">
        <v>50</v>
      </c>
      <c r="D8" s="25">
        <v>36</v>
      </c>
      <c r="E8" s="26">
        <f t="shared" ref="E8:H32" si="0">D8-D$6</f>
        <v>11</v>
      </c>
      <c r="F8" s="30">
        <f t="shared" ref="F8:F33" si="1">IFERROR((D8/D$6)*$C$6,0)</f>
        <v>36</v>
      </c>
      <c r="G8" s="25">
        <v>44</v>
      </c>
      <c r="H8" s="26">
        <f t="shared" si="0"/>
        <v>6</v>
      </c>
      <c r="I8" s="30">
        <f t="shared" ref="I8:I33" si="2">IFERROR((G8/G$6)*$C$6,0)</f>
        <v>28.947368421052634</v>
      </c>
      <c r="J8" s="25">
        <v>38</v>
      </c>
      <c r="K8" s="26">
        <f t="shared" ref="K8" si="3">J8-J$6</f>
        <v>10</v>
      </c>
      <c r="L8" s="30">
        <f t="shared" ref="L8:L33" si="4">IFERROR((J8/J$6)*$C$6,0)</f>
        <v>33.928571428571431</v>
      </c>
      <c r="M8" s="25">
        <v>44</v>
      </c>
      <c r="N8" s="26">
        <f t="shared" ref="N8" si="5">M8-M$6</f>
        <v>12</v>
      </c>
      <c r="O8" s="30">
        <f t="shared" ref="O8:O33" si="6">IFERROR((M8/M$6)*$C$6,0)</f>
        <v>34.375</v>
      </c>
      <c r="P8" s="25">
        <v>40</v>
      </c>
      <c r="Q8" s="26">
        <f t="shared" ref="Q8" si="7">P8-P$6</f>
        <v>12</v>
      </c>
      <c r="R8" s="30">
        <f t="shared" ref="R8:R33" si="8">IFERROR((P8/P$6)*$C$6,0)</f>
        <v>35.714285714285715</v>
      </c>
      <c r="S8" s="25">
        <v>44</v>
      </c>
      <c r="T8" s="26">
        <f t="shared" ref="T8" si="9">S8-S$6</f>
        <v>12</v>
      </c>
      <c r="U8" s="30">
        <f t="shared" ref="U8:U33" si="10">IFERROR((S8/S$6)*$C$6,0)</f>
        <v>34.375</v>
      </c>
      <c r="V8" s="25"/>
      <c r="W8" s="26">
        <f t="shared" ref="W8" si="11">V8-V$6</f>
        <v>0</v>
      </c>
      <c r="X8" s="30">
        <f t="shared" ref="X8:X33" si="12">IFERROR((V8/V$6)*$C$6,0)</f>
        <v>0</v>
      </c>
      <c r="Y8" s="25"/>
      <c r="Z8" s="26">
        <f t="shared" ref="Z8" si="13">Y8-Y$6</f>
        <v>0</v>
      </c>
      <c r="AA8" s="30">
        <f t="shared" ref="AA8:AA33" si="14">IFERROR((Y8/Y$6)*$C$6,0)</f>
        <v>0</v>
      </c>
      <c r="AB8" s="25"/>
      <c r="AC8" s="26">
        <f t="shared" ref="AC8" si="15">AB8-AB$6</f>
        <v>0</v>
      </c>
      <c r="AD8" s="30">
        <f t="shared" ref="AD8:AD33" si="16">IFERROR((AB8/AB$6)*$C$6,0)</f>
        <v>0</v>
      </c>
      <c r="AE8" s="25"/>
      <c r="AF8" s="26">
        <f t="shared" ref="AF8" si="17">AE8-AE$6</f>
        <v>0</v>
      </c>
      <c r="AG8" s="30">
        <f t="shared" ref="AG8:AG33" si="18">IFERROR((AE8/AE$6)*$C$6,0)</f>
        <v>0</v>
      </c>
      <c r="AH8" s="25"/>
      <c r="AI8" s="26">
        <f t="shared" ref="AI8" si="19">AH8-AH$6</f>
        <v>0</v>
      </c>
      <c r="AJ8" s="30">
        <f t="shared" ref="AJ8:AJ33" si="20">IFERROR((AH8/AH$6)*$C$6,0)</f>
        <v>0</v>
      </c>
      <c r="AK8" s="25"/>
      <c r="AL8" s="26">
        <f t="shared" ref="AL8" si="21">AK8-AK$6</f>
        <v>0</v>
      </c>
      <c r="AM8" s="30">
        <f t="shared" ref="AM8:AM33" si="22">IFERROR((AK8/AK$6)*$C$6,0)</f>
        <v>0</v>
      </c>
    </row>
    <row r="9" spans="1:39" s="27" customFormat="1" x14ac:dyDescent="0.25">
      <c r="A9" s="24">
        <v>3</v>
      </c>
      <c r="B9" s="19" t="s">
        <v>17</v>
      </c>
      <c r="C9" s="19">
        <v>45</v>
      </c>
      <c r="D9" s="25">
        <v>35</v>
      </c>
      <c r="E9" s="26">
        <f t="shared" si="0"/>
        <v>10</v>
      </c>
      <c r="F9" s="30">
        <f t="shared" si="1"/>
        <v>35</v>
      </c>
      <c r="G9" s="25"/>
      <c r="H9" s="26">
        <f t="shared" si="0"/>
        <v>-38</v>
      </c>
      <c r="I9" s="30">
        <f t="shared" si="2"/>
        <v>0</v>
      </c>
      <c r="J9" s="25">
        <v>39</v>
      </c>
      <c r="K9" s="26">
        <f t="shared" ref="K9" si="23">J9-J$6</f>
        <v>11</v>
      </c>
      <c r="L9" s="30">
        <f t="shared" si="4"/>
        <v>34.821428571428569</v>
      </c>
      <c r="M9" s="25">
        <v>42</v>
      </c>
      <c r="N9" s="26">
        <f t="shared" ref="N9" si="24">M9-M$6</f>
        <v>10</v>
      </c>
      <c r="O9" s="30">
        <f t="shared" si="6"/>
        <v>32.8125</v>
      </c>
      <c r="P9" s="25"/>
      <c r="Q9" s="26">
        <f t="shared" ref="Q9" si="25">P9-P$6</f>
        <v>-28</v>
      </c>
      <c r="R9" s="30">
        <f t="shared" si="8"/>
        <v>0</v>
      </c>
      <c r="S9" s="25"/>
      <c r="T9" s="26">
        <f t="shared" ref="T9" si="26">S9-S$6</f>
        <v>-32</v>
      </c>
      <c r="U9" s="30">
        <f t="shared" si="10"/>
        <v>0</v>
      </c>
      <c r="V9" s="25"/>
      <c r="W9" s="26">
        <f t="shared" ref="W9" si="27">V9-V$6</f>
        <v>0</v>
      </c>
      <c r="X9" s="30">
        <f t="shared" si="12"/>
        <v>0</v>
      </c>
      <c r="Y9" s="25"/>
      <c r="Z9" s="26">
        <f t="shared" ref="Z9" si="28">Y9-Y$6</f>
        <v>0</v>
      </c>
      <c r="AA9" s="30">
        <f t="shared" si="14"/>
        <v>0</v>
      </c>
      <c r="AB9" s="25"/>
      <c r="AC9" s="26">
        <f t="shared" ref="AC9" si="29">AB9-AB$6</f>
        <v>0</v>
      </c>
      <c r="AD9" s="30">
        <f t="shared" si="16"/>
        <v>0</v>
      </c>
      <c r="AE9" s="25"/>
      <c r="AF9" s="26">
        <f t="shared" ref="AF9" si="30">AE9-AE$6</f>
        <v>0</v>
      </c>
      <c r="AG9" s="30">
        <f t="shared" si="18"/>
        <v>0</v>
      </c>
      <c r="AH9" s="25"/>
      <c r="AI9" s="26">
        <f t="shared" ref="AI9" si="31">AH9-AH$6</f>
        <v>0</v>
      </c>
      <c r="AJ9" s="30">
        <f t="shared" si="20"/>
        <v>0</v>
      </c>
      <c r="AK9" s="25"/>
      <c r="AL9" s="26">
        <f t="shared" ref="AL9" si="32">AK9-AK$6</f>
        <v>0</v>
      </c>
      <c r="AM9" s="30">
        <f t="shared" si="22"/>
        <v>0</v>
      </c>
    </row>
    <row r="10" spans="1:39" s="27" customFormat="1" x14ac:dyDescent="0.25">
      <c r="A10" s="24">
        <v>4</v>
      </c>
      <c r="B10" s="19" t="s">
        <v>18</v>
      </c>
      <c r="C10" s="19">
        <v>45</v>
      </c>
      <c r="D10" s="25"/>
      <c r="E10" s="26">
        <f t="shared" si="0"/>
        <v>-25</v>
      </c>
      <c r="F10" s="30">
        <f t="shared" si="1"/>
        <v>0</v>
      </c>
      <c r="G10" s="25">
        <v>42</v>
      </c>
      <c r="H10" s="26">
        <f t="shared" si="0"/>
        <v>4</v>
      </c>
      <c r="I10" s="30">
        <f t="shared" si="2"/>
        <v>27.631578947368425</v>
      </c>
      <c r="J10" s="25"/>
      <c r="K10" s="26">
        <f t="shared" ref="K10" si="33">J10-J$6</f>
        <v>-28</v>
      </c>
      <c r="L10" s="30">
        <f t="shared" si="4"/>
        <v>0</v>
      </c>
      <c r="M10" s="25"/>
      <c r="N10" s="26">
        <f t="shared" ref="N10" si="34">M10-M$6</f>
        <v>-32</v>
      </c>
      <c r="O10" s="30">
        <f t="shared" si="6"/>
        <v>0</v>
      </c>
      <c r="P10" s="25">
        <v>40</v>
      </c>
      <c r="Q10" s="26">
        <f t="shared" ref="Q10" si="35">P10-P$6</f>
        <v>12</v>
      </c>
      <c r="R10" s="30">
        <f t="shared" si="8"/>
        <v>35.714285714285715</v>
      </c>
      <c r="S10" s="25">
        <v>42</v>
      </c>
      <c r="T10" s="26">
        <f t="shared" ref="T10" si="36">S10-S$6</f>
        <v>10</v>
      </c>
      <c r="U10" s="30">
        <f t="shared" si="10"/>
        <v>32.8125</v>
      </c>
      <c r="V10" s="25"/>
      <c r="W10" s="26">
        <f t="shared" ref="W10" si="37">V10-V$6</f>
        <v>0</v>
      </c>
      <c r="X10" s="30">
        <f t="shared" si="12"/>
        <v>0</v>
      </c>
      <c r="Y10" s="25"/>
      <c r="Z10" s="26">
        <f t="shared" ref="Z10" si="38">Y10-Y$6</f>
        <v>0</v>
      </c>
      <c r="AA10" s="30">
        <f t="shared" si="14"/>
        <v>0</v>
      </c>
      <c r="AB10" s="25"/>
      <c r="AC10" s="26">
        <f t="shared" ref="AC10" si="39">AB10-AB$6</f>
        <v>0</v>
      </c>
      <c r="AD10" s="30">
        <f t="shared" si="16"/>
        <v>0</v>
      </c>
      <c r="AE10" s="25"/>
      <c r="AF10" s="26">
        <f t="shared" ref="AF10" si="40">AE10-AE$6</f>
        <v>0</v>
      </c>
      <c r="AG10" s="30">
        <f t="shared" si="18"/>
        <v>0</v>
      </c>
      <c r="AH10" s="25"/>
      <c r="AI10" s="26">
        <f t="shared" ref="AI10" si="41">AH10-AH$6</f>
        <v>0</v>
      </c>
      <c r="AJ10" s="30">
        <f t="shared" si="20"/>
        <v>0</v>
      </c>
      <c r="AK10" s="25"/>
      <c r="AL10" s="26">
        <f t="shared" ref="AL10" si="42">AK10-AK$6</f>
        <v>0</v>
      </c>
      <c r="AM10" s="30">
        <f t="shared" si="22"/>
        <v>0</v>
      </c>
    </row>
    <row r="11" spans="1:39" s="27" customFormat="1" x14ac:dyDescent="0.25">
      <c r="A11" s="24">
        <v>5</v>
      </c>
      <c r="B11" s="19" t="s">
        <v>19</v>
      </c>
      <c r="C11" s="19">
        <v>45</v>
      </c>
      <c r="D11" s="25"/>
      <c r="E11" s="26">
        <f t="shared" si="0"/>
        <v>-25</v>
      </c>
      <c r="F11" s="30">
        <f t="shared" si="1"/>
        <v>0</v>
      </c>
      <c r="G11" s="25"/>
      <c r="H11" s="26">
        <f t="shared" si="0"/>
        <v>-38</v>
      </c>
      <c r="I11" s="30">
        <f t="shared" si="2"/>
        <v>0</v>
      </c>
      <c r="J11" s="25"/>
      <c r="K11" s="26">
        <f t="shared" ref="K11" si="43">J11-J$6</f>
        <v>-28</v>
      </c>
      <c r="L11" s="30">
        <f t="shared" si="4"/>
        <v>0</v>
      </c>
      <c r="M11" s="25"/>
      <c r="N11" s="26">
        <f t="shared" ref="N11" si="44">M11-M$6</f>
        <v>-32</v>
      </c>
      <c r="O11" s="30">
        <f t="shared" si="6"/>
        <v>0</v>
      </c>
      <c r="P11" s="25"/>
      <c r="Q11" s="26">
        <f t="shared" ref="Q11" si="45">P11-P$6</f>
        <v>-28</v>
      </c>
      <c r="R11" s="30">
        <f t="shared" si="8"/>
        <v>0</v>
      </c>
      <c r="S11" s="25"/>
      <c r="T11" s="26">
        <f t="shared" ref="T11" si="46">S11-S$6</f>
        <v>-32</v>
      </c>
      <c r="U11" s="30">
        <f t="shared" si="10"/>
        <v>0</v>
      </c>
      <c r="V11" s="25"/>
      <c r="W11" s="26">
        <f t="shared" ref="W11" si="47">V11-V$6</f>
        <v>0</v>
      </c>
      <c r="X11" s="30">
        <f t="shared" si="12"/>
        <v>0</v>
      </c>
      <c r="Y11" s="25"/>
      <c r="Z11" s="26">
        <f t="shared" ref="Z11" si="48">Y11-Y$6</f>
        <v>0</v>
      </c>
      <c r="AA11" s="30">
        <f t="shared" si="14"/>
        <v>0</v>
      </c>
      <c r="AB11" s="25"/>
      <c r="AC11" s="26">
        <f t="shared" ref="AC11" si="49">AB11-AB$6</f>
        <v>0</v>
      </c>
      <c r="AD11" s="30">
        <f t="shared" si="16"/>
        <v>0</v>
      </c>
      <c r="AE11" s="25"/>
      <c r="AF11" s="26">
        <f t="shared" ref="AF11" si="50">AE11-AE$6</f>
        <v>0</v>
      </c>
      <c r="AG11" s="30">
        <f t="shared" si="18"/>
        <v>0</v>
      </c>
      <c r="AH11" s="25"/>
      <c r="AI11" s="26">
        <f t="shared" ref="AI11" si="51">AH11-AH$6</f>
        <v>0</v>
      </c>
      <c r="AJ11" s="30">
        <f t="shared" si="20"/>
        <v>0</v>
      </c>
      <c r="AK11" s="25"/>
      <c r="AL11" s="26">
        <f t="shared" ref="AL11" si="52">AK11-AK$6</f>
        <v>0</v>
      </c>
      <c r="AM11" s="30">
        <f t="shared" si="22"/>
        <v>0</v>
      </c>
    </row>
    <row r="12" spans="1:39" s="27" customFormat="1" x14ac:dyDescent="0.25">
      <c r="A12" s="24">
        <v>6</v>
      </c>
      <c r="B12" s="19" t="s">
        <v>20</v>
      </c>
      <c r="C12" s="19">
        <v>45</v>
      </c>
      <c r="D12" s="25">
        <v>36</v>
      </c>
      <c r="E12" s="26">
        <f t="shared" si="0"/>
        <v>11</v>
      </c>
      <c r="F12" s="30">
        <f t="shared" si="1"/>
        <v>36</v>
      </c>
      <c r="G12" s="25">
        <v>40</v>
      </c>
      <c r="H12" s="26">
        <f t="shared" si="0"/>
        <v>2</v>
      </c>
      <c r="I12" s="30">
        <f t="shared" si="2"/>
        <v>26.315789473684209</v>
      </c>
      <c r="J12" s="25">
        <v>37</v>
      </c>
      <c r="K12" s="26">
        <f t="shared" ref="K12" si="53">J12-J$6</f>
        <v>9</v>
      </c>
      <c r="L12" s="30">
        <f t="shared" si="4"/>
        <v>33.035714285714285</v>
      </c>
      <c r="M12" s="25">
        <v>43</v>
      </c>
      <c r="N12" s="26">
        <f t="shared" ref="N12" si="54">M12-M$6</f>
        <v>11</v>
      </c>
      <c r="O12" s="30">
        <f t="shared" si="6"/>
        <v>33.59375</v>
      </c>
      <c r="P12" s="25">
        <v>44</v>
      </c>
      <c r="Q12" s="26">
        <f t="shared" ref="Q12" si="55">P12-P$6</f>
        <v>16</v>
      </c>
      <c r="R12" s="30">
        <f t="shared" si="8"/>
        <v>39.285714285714285</v>
      </c>
      <c r="S12" s="25">
        <v>40</v>
      </c>
      <c r="T12" s="26">
        <f t="shared" ref="T12" si="56">S12-S$6</f>
        <v>8</v>
      </c>
      <c r="U12" s="30">
        <f t="shared" si="10"/>
        <v>31.25</v>
      </c>
      <c r="V12" s="25"/>
      <c r="W12" s="26">
        <f t="shared" ref="W12" si="57">V12-V$6</f>
        <v>0</v>
      </c>
      <c r="X12" s="30">
        <f t="shared" si="12"/>
        <v>0</v>
      </c>
      <c r="Y12" s="25"/>
      <c r="Z12" s="26">
        <f t="shared" ref="Z12" si="58">Y12-Y$6</f>
        <v>0</v>
      </c>
      <c r="AA12" s="30">
        <f t="shared" si="14"/>
        <v>0</v>
      </c>
      <c r="AB12" s="25"/>
      <c r="AC12" s="26">
        <f t="shared" ref="AC12" si="59">AB12-AB$6</f>
        <v>0</v>
      </c>
      <c r="AD12" s="30">
        <f t="shared" si="16"/>
        <v>0</v>
      </c>
      <c r="AE12" s="25"/>
      <c r="AF12" s="26">
        <f t="shared" ref="AF12" si="60">AE12-AE$6</f>
        <v>0</v>
      </c>
      <c r="AG12" s="30">
        <f t="shared" si="18"/>
        <v>0</v>
      </c>
      <c r="AH12" s="25"/>
      <c r="AI12" s="26">
        <f t="shared" ref="AI12" si="61">AH12-AH$6</f>
        <v>0</v>
      </c>
      <c r="AJ12" s="30">
        <f t="shared" si="20"/>
        <v>0</v>
      </c>
      <c r="AK12" s="25"/>
      <c r="AL12" s="26">
        <f t="shared" ref="AL12" si="62">AK12-AK$6</f>
        <v>0</v>
      </c>
      <c r="AM12" s="30">
        <f t="shared" si="22"/>
        <v>0</v>
      </c>
    </row>
    <row r="13" spans="1:39" s="27" customFormat="1" x14ac:dyDescent="0.25">
      <c r="A13" s="24">
        <v>7</v>
      </c>
      <c r="B13" s="19" t="s">
        <v>21</v>
      </c>
      <c r="C13" s="19">
        <v>50</v>
      </c>
      <c r="D13" s="25"/>
      <c r="E13" s="26">
        <f t="shared" si="0"/>
        <v>-25</v>
      </c>
      <c r="F13" s="30">
        <f t="shared" si="1"/>
        <v>0</v>
      </c>
      <c r="G13" s="25">
        <v>42</v>
      </c>
      <c r="H13" s="26">
        <f t="shared" si="0"/>
        <v>4</v>
      </c>
      <c r="I13" s="30">
        <f t="shared" si="2"/>
        <v>27.631578947368425</v>
      </c>
      <c r="J13" s="25"/>
      <c r="K13" s="26">
        <f t="shared" ref="K13" si="63">J13-J$6</f>
        <v>-28</v>
      </c>
      <c r="L13" s="30">
        <f t="shared" si="4"/>
        <v>0</v>
      </c>
      <c r="M13" s="25">
        <v>41</v>
      </c>
      <c r="N13" s="26">
        <f t="shared" ref="N13" si="64">M13-M$6</f>
        <v>9</v>
      </c>
      <c r="O13" s="30">
        <f t="shared" si="6"/>
        <v>32.03125</v>
      </c>
      <c r="P13" s="25"/>
      <c r="Q13" s="26">
        <f t="shared" ref="Q13" si="65">P13-P$6</f>
        <v>-28</v>
      </c>
      <c r="R13" s="30">
        <f t="shared" si="8"/>
        <v>0</v>
      </c>
      <c r="S13" s="25">
        <v>42</v>
      </c>
      <c r="T13" s="26">
        <f t="shared" ref="T13" si="66">S13-S$6</f>
        <v>10</v>
      </c>
      <c r="U13" s="30">
        <f t="shared" si="10"/>
        <v>32.8125</v>
      </c>
      <c r="V13" s="25"/>
      <c r="W13" s="26">
        <f t="shared" ref="W13" si="67">V13-V$6</f>
        <v>0</v>
      </c>
      <c r="X13" s="30">
        <f t="shared" si="12"/>
        <v>0</v>
      </c>
      <c r="Y13" s="25"/>
      <c r="Z13" s="26">
        <f t="shared" ref="Z13" si="68">Y13-Y$6</f>
        <v>0</v>
      </c>
      <c r="AA13" s="30">
        <f t="shared" si="14"/>
        <v>0</v>
      </c>
      <c r="AB13" s="25"/>
      <c r="AC13" s="26">
        <f t="shared" ref="AC13" si="69">AB13-AB$6</f>
        <v>0</v>
      </c>
      <c r="AD13" s="30">
        <f t="shared" si="16"/>
        <v>0</v>
      </c>
      <c r="AE13" s="25"/>
      <c r="AF13" s="26">
        <f t="shared" ref="AF13" si="70">AE13-AE$6</f>
        <v>0</v>
      </c>
      <c r="AG13" s="30">
        <f t="shared" si="18"/>
        <v>0</v>
      </c>
      <c r="AH13" s="25"/>
      <c r="AI13" s="26">
        <f t="shared" ref="AI13" si="71">AH13-AH$6</f>
        <v>0</v>
      </c>
      <c r="AJ13" s="30">
        <f t="shared" si="20"/>
        <v>0</v>
      </c>
      <c r="AK13" s="25"/>
      <c r="AL13" s="26">
        <f t="shared" ref="AL13" si="72">AK13-AK$6</f>
        <v>0</v>
      </c>
      <c r="AM13" s="30">
        <f t="shared" si="22"/>
        <v>0</v>
      </c>
    </row>
    <row r="14" spans="1:39" s="27" customFormat="1" x14ac:dyDescent="0.25">
      <c r="A14" s="24">
        <v>8</v>
      </c>
      <c r="B14" s="19" t="s">
        <v>22</v>
      </c>
      <c r="C14" s="19">
        <v>50</v>
      </c>
      <c r="D14" s="25">
        <v>33</v>
      </c>
      <c r="E14" s="26">
        <f t="shared" si="0"/>
        <v>8</v>
      </c>
      <c r="F14" s="30">
        <f t="shared" si="1"/>
        <v>33</v>
      </c>
      <c r="G14" s="25"/>
      <c r="H14" s="26">
        <f t="shared" si="0"/>
        <v>-38</v>
      </c>
      <c r="I14" s="30">
        <f t="shared" si="2"/>
        <v>0</v>
      </c>
      <c r="J14" s="25">
        <v>37</v>
      </c>
      <c r="K14" s="26">
        <f t="shared" ref="K14" si="73">J14-J$6</f>
        <v>9</v>
      </c>
      <c r="L14" s="30">
        <f t="shared" si="4"/>
        <v>33.035714285714285</v>
      </c>
      <c r="M14" s="25">
        <v>45</v>
      </c>
      <c r="N14" s="26">
        <f t="shared" ref="N14" si="74">M14-M$6</f>
        <v>13</v>
      </c>
      <c r="O14" s="30">
        <f t="shared" si="6"/>
        <v>35.15625</v>
      </c>
      <c r="P14" s="25">
        <v>42</v>
      </c>
      <c r="Q14" s="26">
        <f t="shared" ref="Q14" si="75">P14-P$6</f>
        <v>14</v>
      </c>
      <c r="R14" s="30">
        <f t="shared" si="8"/>
        <v>37.5</v>
      </c>
      <c r="S14" s="25"/>
      <c r="T14" s="26">
        <f t="shared" ref="T14" si="76">S14-S$6</f>
        <v>-32</v>
      </c>
      <c r="U14" s="30">
        <f t="shared" si="10"/>
        <v>0</v>
      </c>
      <c r="V14" s="25"/>
      <c r="W14" s="26">
        <f t="shared" ref="W14" si="77">V14-V$6</f>
        <v>0</v>
      </c>
      <c r="X14" s="30">
        <f t="shared" si="12"/>
        <v>0</v>
      </c>
      <c r="Y14" s="25"/>
      <c r="Z14" s="26">
        <f t="shared" ref="Z14" si="78">Y14-Y$6</f>
        <v>0</v>
      </c>
      <c r="AA14" s="30">
        <f t="shared" si="14"/>
        <v>0</v>
      </c>
      <c r="AB14" s="25"/>
      <c r="AC14" s="26">
        <f t="shared" ref="AC14" si="79">AB14-AB$6</f>
        <v>0</v>
      </c>
      <c r="AD14" s="30">
        <f t="shared" si="16"/>
        <v>0</v>
      </c>
      <c r="AE14" s="25"/>
      <c r="AF14" s="26">
        <f t="shared" ref="AF14" si="80">AE14-AE$6</f>
        <v>0</v>
      </c>
      <c r="AG14" s="30">
        <f t="shared" si="18"/>
        <v>0</v>
      </c>
      <c r="AH14" s="25"/>
      <c r="AI14" s="26">
        <f t="shared" ref="AI14" si="81">AH14-AH$6</f>
        <v>0</v>
      </c>
      <c r="AJ14" s="30">
        <f t="shared" si="20"/>
        <v>0</v>
      </c>
      <c r="AK14" s="25"/>
      <c r="AL14" s="26">
        <f t="shared" ref="AL14" si="82">AK14-AK$6</f>
        <v>0</v>
      </c>
      <c r="AM14" s="30">
        <f t="shared" si="22"/>
        <v>0</v>
      </c>
    </row>
    <row r="15" spans="1:39" s="27" customFormat="1" x14ac:dyDescent="0.25">
      <c r="A15" s="24">
        <v>9</v>
      </c>
      <c r="B15" s="19" t="s">
        <v>23</v>
      </c>
      <c r="C15" s="19">
        <v>50</v>
      </c>
      <c r="D15" s="25">
        <v>34</v>
      </c>
      <c r="E15" s="26">
        <f t="shared" si="0"/>
        <v>9</v>
      </c>
      <c r="F15" s="30">
        <f t="shared" si="1"/>
        <v>34</v>
      </c>
      <c r="G15" s="25">
        <v>42</v>
      </c>
      <c r="H15" s="26">
        <f t="shared" si="0"/>
        <v>4</v>
      </c>
      <c r="I15" s="30">
        <f t="shared" si="2"/>
        <v>27.631578947368425</v>
      </c>
      <c r="J15" s="25">
        <v>36</v>
      </c>
      <c r="K15" s="26">
        <f t="shared" ref="K15" si="83">J15-J$6</f>
        <v>8</v>
      </c>
      <c r="L15" s="30">
        <f t="shared" si="4"/>
        <v>32.142857142857146</v>
      </c>
      <c r="M15" s="25">
        <v>41</v>
      </c>
      <c r="N15" s="26">
        <f t="shared" ref="N15" si="84">M15-M$6</f>
        <v>9</v>
      </c>
      <c r="O15" s="30">
        <f t="shared" si="6"/>
        <v>32.03125</v>
      </c>
      <c r="P15" s="25">
        <v>38</v>
      </c>
      <c r="Q15" s="26">
        <f t="shared" ref="Q15" si="85">P15-P$6</f>
        <v>10</v>
      </c>
      <c r="R15" s="30">
        <f t="shared" si="8"/>
        <v>33.928571428571431</v>
      </c>
      <c r="S15" s="25">
        <v>42</v>
      </c>
      <c r="T15" s="26">
        <f t="shared" ref="T15" si="86">S15-S$6</f>
        <v>10</v>
      </c>
      <c r="U15" s="30">
        <f t="shared" si="10"/>
        <v>32.8125</v>
      </c>
      <c r="V15" s="25"/>
      <c r="W15" s="26">
        <f t="shared" ref="W15" si="87">V15-V$6</f>
        <v>0</v>
      </c>
      <c r="X15" s="30">
        <f t="shared" si="12"/>
        <v>0</v>
      </c>
      <c r="Y15" s="25"/>
      <c r="Z15" s="26">
        <f t="shared" ref="Z15" si="88">Y15-Y$6</f>
        <v>0</v>
      </c>
      <c r="AA15" s="30">
        <f t="shared" si="14"/>
        <v>0</v>
      </c>
      <c r="AB15" s="25"/>
      <c r="AC15" s="26">
        <f t="shared" ref="AC15" si="89">AB15-AB$6</f>
        <v>0</v>
      </c>
      <c r="AD15" s="30">
        <f t="shared" si="16"/>
        <v>0</v>
      </c>
      <c r="AE15" s="25"/>
      <c r="AF15" s="26">
        <f t="shared" ref="AF15" si="90">AE15-AE$6</f>
        <v>0</v>
      </c>
      <c r="AG15" s="30">
        <f t="shared" si="18"/>
        <v>0</v>
      </c>
      <c r="AH15" s="25"/>
      <c r="AI15" s="26">
        <f t="shared" ref="AI15" si="91">AH15-AH$6</f>
        <v>0</v>
      </c>
      <c r="AJ15" s="30">
        <f t="shared" si="20"/>
        <v>0</v>
      </c>
      <c r="AK15" s="25"/>
      <c r="AL15" s="26">
        <f t="shared" ref="AL15" si="92">AK15-AK$6</f>
        <v>0</v>
      </c>
      <c r="AM15" s="30">
        <f t="shared" si="22"/>
        <v>0</v>
      </c>
    </row>
    <row r="16" spans="1:39" s="27" customFormat="1" x14ac:dyDescent="0.25">
      <c r="A16" s="24">
        <v>10</v>
      </c>
      <c r="B16" s="19" t="s">
        <v>24</v>
      </c>
      <c r="C16" s="19">
        <v>50</v>
      </c>
      <c r="D16" s="25">
        <v>35</v>
      </c>
      <c r="E16" s="26">
        <f t="shared" si="0"/>
        <v>10</v>
      </c>
      <c r="F16" s="30">
        <f t="shared" si="1"/>
        <v>35</v>
      </c>
      <c r="G16" s="25">
        <v>38</v>
      </c>
      <c r="H16" s="26">
        <f t="shared" si="0"/>
        <v>0</v>
      </c>
      <c r="I16" s="30">
        <f t="shared" si="2"/>
        <v>25</v>
      </c>
      <c r="J16" s="25">
        <v>35</v>
      </c>
      <c r="K16" s="26">
        <f t="shared" ref="K16" si="93">J16-J$6</f>
        <v>7</v>
      </c>
      <c r="L16" s="30">
        <f t="shared" si="4"/>
        <v>31.25</v>
      </c>
      <c r="M16" s="25">
        <v>42</v>
      </c>
      <c r="N16" s="26">
        <f t="shared" ref="N16" si="94">M16-M$6</f>
        <v>10</v>
      </c>
      <c r="O16" s="30">
        <f t="shared" si="6"/>
        <v>32.8125</v>
      </c>
      <c r="P16" s="25">
        <v>36</v>
      </c>
      <c r="Q16" s="26">
        <f t="shared" ref="Q16" si="95">P16-P$6</f>
        <v>8</v>
      </c>
      <c r="R16" s="30">
        <f t="shared" si="8"/>
        <v>32.142857142857146</v>
      </c>
      <c r="S16" s="25">
        <v>38</v>
      </c>
      <c r="T16" s="26">
        <f t="shared" ref="T16" si="96">S16-S$6</f>
        <v>6</v>
      </c>
      <c r="U16" s="30">
        <f t="shared" si="10"/>
        <v>29.6875</v>
      </c>
      <c r="V16" s="25"/>
      <c r="W16" s="26">
        <f t="shared" ref="W16" si="97">V16-V$6</f>
        <v>0</v>
      </c>
      <c r="X16" s="30">
        <f t="shared" si="12"/>
        <v>0</v>
      </c>
      <c r="Y16" s="25"/>
      <c r="Z16" s="26">
        <f t="shared" ref="Z16" si="98">Y16-Y$6</f>
        <v>0</v>
      </c>
      <c r="AA16" s="30">
        <f t="shared" si="14"/>
        <v>0</v>
      </c>
      <c r="AB16" s="25"/>
      <c r="AC16" s="26">
        <f t="shared" ref="AC16" si="99">AB16-AB$6</f>
        <v>0</v>
      </c>
      <c r="AD16" s="30">
        <f t="shared" si="16"/>
        <v>0</v>
      </c>
      <c r="AE16" s="25"/>
      <c r="AF16" s="26">
        <f t="shared" ref="AF16" si="100">AE16-AE$6</f>
        <v>0</v>
      </c>
      <c r="AG16" s="30">
        <f t="shared" si="18"/>
        <v>0</v>
      </c>
      <c r="AH16" s="25"/>
      <c r="AI16" s="26">
        <f t="shared" ref="AI16" si="101">AH16-AH$6</f>
        <v>0</v>
      </c>
      <c r="AJ16" s="30">
        <f t="shared" si="20"/>
        <v>0</v>
      </c>
      <c r="AK16" s="25"/>
      <c r="AL16" s="26">
        <f t="shared" ref="AL16" si="102">AK16-AK$6</f>
        <v>0</v>
      </c>
      <c r="AM16" s="30">
        <f t="shared" si="22"/>
        <v>0</v>
      </c>
    </row>
    <row r="17" spans="1:39" s="27" customFormat="1" x14ac:dyDescent="0.25">
      <c r="A17" s="24">
        <v>11</v>
      </c>
      <c r="B17" s="19" t="s">
        <v>25</v>
      </c>
      <c r="C17" s="19">
        <v>40</v>
      </c>
      <c r="D17" s="25">
        <v>32</v>
      </c>
      <c r="E17" s="26">
        <f t="shared" si="0"/>
        <v>7</v>
      </c>
      <c r="F17" s="30">
        <f t="shared" si="1"/>
        <v>32</v>
      </c>
      <c r="G17" s="25"/>
      <c r="H17" s="26">
        <f t="shared" si="0"/>
        <v>-38</v>
      </c>
      <c r="I17" s="30">
        <f t="shared" si="2"/>
        <v>0</v>
      </c>
      <c r="J17" s="25">
        <v>36</v>
      </c>
      <c r="K17" s="26">
        <f t="shared" ref="K17" si="103">J17-J$6</f>
        <v>8</v>
      </c>
      <c r="L17" s="30">
        <f t="shared" si="4"/>
        <v>32.142857142857146</v>
      </c>
      <c r="M17" s="25">
        <v>40</v>
      </c>
      <c r="N17" s="26">
        <f t="shared" ref="N17" si="104">M17-M$6</f>
        <v>8</v>
      </c>
      <c r="O17" s="30">
        <f t="shared" si="6"/>
        <v>31.25</v>
      </c>
      <c r="P17" s="25"/>
      <c r="Q17" s="26">
        <f t="shared" ref="Q17" si="105">P17-P$6</f>
        <v>-28</v>
      </c>
      <c r="R17" s="30">
        <f t="shared" si="8"/>
        <v>0</v>
      </c>
      <c r="S17" s="25"/>
      <c r="T17" s="26">
        <f t="shared" ref="T17" si="106">S17-S$6</f>
        <v>-32</v>
      </c>
      <c r="U17" s="30">
        <f t="shared" si="10"/>
        <v>0</v>
      </c>
      <c r="V17" s="25"/>
      <c r="W17" s="26">
        <f t="shared" ref="W17" si="107">V17-V$6</f>
        <v>0</v>
      </c>
      <c r="X17" s="30">
        <f t="shared" si="12"/>
        <v>0</v>
      </c>
      <c r="Y17" s="25"/>
      <c r="Z17" s="26">
        <f t="shared" ref="Z17" si="108">Y17-Y$6</f>
        <v>0</v>
      </c>
      <c r="AA17" s="30">
        <f t="shared" si="14"/>
        <v>0</v>
      </c>
      <c r="AB17" s="25"/>
      <c r="AC17" s="26">
        <f t="shared" ref="AC17" si="109">AB17-AB$6</f>
        <v>0</v>
      </c>
      <c r="AD17" s="30">
        <f t="shared" si="16"/>
        <v>0</v>
      </c>
      <c r="AE17" s="25"/>
      <c r="AF17" s="26">
        <f t="shared" ref="AF17" si="110">AE17-AE$6</f>
        <v>0</v>
      </c>
      <c r="AG17" s="30">
        <f t="shared" si="18"/>
        <v>0</v>
      </c>
      <c r="AH17" s="25"/>
      <c r="AI17" s="26">
        <f t="shared" ref="AI17" si="111">AH17-AH$6</f>
        <v>0</v>
      </c>
      <c r="AJ17" s="30">
        <f t="shared" si="20"/>
        <v>0</v>
      </c>
      <c r="AK17" s="25"/>
      <c r="AL17" s="26">
        <f t="shared" ref="AL17" si="112">AK17-AK$6</f>
        <v>0</v>
      </c>
      <c r="AM17" s="30">
        <f t="shared" si="22"/>
        <v>0</v>
      </c>
    </row>
    <row r="18" spans="1:39" s="27" customFormat="1" x14ac:dyDescent="0.25">
      <c r="A18" s="24">
        <v>12</v>
      </c>
      <c r="B18" s="19" t="s">
        <v>26</v>
      </c>
      <c r="C18" s="19">
        <v>40</v>
      </c>
      <c r="D18" s="25"/>
      <c r="E18" s="26">
        <f t="shared" si="0"/>
        <v>-25</v>
      </c>
      <c r="F18" s="30">
        <f t="shared" si="1"/>
        <v>0</v>
      </c>
      <c r="G18" s="25">
        <v>37</v>
      </c>
      <c r="H18" s="26">
        <f t="shared" si="0"/>
        <v>-1</v>
      </c>
      <c r="I18" s="30">
        <f t="shared" si="2"/>
        <v>24.342105263157894</v>
      </c>
      <c r="J18" s="25"/>
      <c r="K18" s="26">
        <f t="shared" ref="K18" si="113">J18-J$6</f>
        <v>-28</v>
      </c>
      <c r="L18" s="30">
        <f t="shared" si="4"/>
        <v>0</v>
      </c>
      <c r="M18" s="25"/>
      <c r="N18" s="26">
        <f t="shared" ref="N18" si="114">M18-M$6</f>
        <v>-32</v>
      </c>
      <c r="O18" s="30">
        <f t="shared" si="6"/>
        <v>0</v>
      </c>
      <c r="P18" s="25">
        <v>38</v>
      </c>
      <c r="Q18" s="26">
        <f t="shared" ref="Q18" si="115">P18-P$6</f>
        <v>10</v>
      </c>
      <c r="R18" s="30">
        <f t="shared" si="8"/>
        <v>33.928571428571431</v>
      </c>
      <c r="S18" s="25">
        <v>37</v>
      </c>
      <c r="T18" s="26">
        <f t="shared" ref="T18" si="116">S18-S$6</f>
        <v>5</v>
      </c>
      <c r="U18" s="30">
        <f t="shared" si="10"/>
        <v>28.90625</v>
      </c>
      <c r="V18" s="25"/>
      <c r="W18" s="26">
        <f t="shared" ref="W18" si="117">V18-V$6</f>
        <v>0</v>
      </c>
      <c r="X18" s="30">
        <f t="shared" si="12"/>
        <v>0</v>
      </c>
      <c r="Y18" s="25"/>
      <c r="Z18" s="26">
        <f t="shared" ref="Z18" si="118">Y18-Y$6</f>
        <v>0</v>
      </c>
      <c r="AA18" s="30">
        <f t="shared" si="14"/>
        <v>0</v>
      </c>
      <c r="AB18" s="25"/>
      <c r="AC18" s="26">
        <f t="shared" ref="AC18" si="119">AB18-AB$6</f>
        <v>0</v>
      </c>
      <c r="AD18" s="30">
        <f t="shared" si="16"/>
        <v>0</v>
      </c>
      <c r="AE18" s="25"/>
      <c r="AF18" s="26">
        <f t="shared" ref="AF18" si="120">AE18-AE$6</f>
        <v>0</v>
      </c>
      <c r="AG18" s="30">
        <f t="shared" si="18"/>
        <v>0</v>
      </c>
      <c r="AH18" s="25"/>
      <c r="AI18" s="26">
        <f t="shared" ref="AI18" si="121">AH18-AH$6</f>
        <v>0</v>
      </c>
      <c r="AJ18" s="30">
        <f t="shared" si="20"/>
        <v>0</v>
      </c>
      <c r="AK18" s="25"/>
      <c r="AL18" s="26">
        <f t="shared" ref="AL18" si="122">AK18-AK$6</f>
        <v>0</v>
      </c>
      <c r="AM18" s="30">
        <f t="shared" si="22"/>
        <v>0</v>
      </c>
    </row>
    <row r="19" spans="1:39" s="27" customFormat="1" x14ac:dyDescent="0.25">
      <c r="A19" s="24">
        <v>13</v>
      </c>
      <c r="B19" s="19" t="s">
        <v>27</v>
      </c>
      <c r="C19" s="19">
        <v>45</v>
      </c>
      <c r="D19" s="25">
        <v>38</v>
      </c>
      <c r="E19" s="26">
        <f t="shared" si="0"/>
        <v>13</v>
      </c>
      <c r="F19" s="30">
        <f t="shared" si="1"/>
        <v>38</v>
      </c>
      <c r="G19" s="25">
        <v>40</v>
      </c>
      <c r="H19" s="26">
        <f t="shared" si="0"/>
        <v>2</v>
      </c>
      <c r="I19" s="30">
        <f t="shared" si="2"/>
        <v>26.315789473684209</v>
      </c>
      <c r="J19" s="25">
        <v>38</v>
      </c>
      <c r="K19" s="26">
        <f t="shared" ref="K19" si="123">J19-J$6</f>
        <v>10</v>
      </c>
      <c r="L19" s="30">
        <f t="shared" si="4"/>
        <v>33.928571428571431</v>
      </c>
      <c r="M19" s="25">
        <v>44</v>
      </c>
      <c r="N19" s="26">
        <f t="shared" ref="N19" si="124">M19-M$6</f>
        <v>12</v>
      </c>
      <c r="O19" s="30">
        <f t="shared" si="6"/>
        <v>34.375</v>
      </c>
      <c r="P19" s="25">
        <v>40</v>
      </c>
      <c r="Q19" s="26">
        <f t="shared" ref="Q19" si="125">P19-P$6</f>
        <v>12</v>
      </c>
      <c r="R19" s="30">
        <f t="shared" si="8"/>
        <v>35.714285714285715</v>
      </c>
      <c r="S19" s="25">
        <v>40</v>
      </c>
      <c r="T19" s="26">
        <f t="shared" ref="T19" si="126">S19-S$6</f>
        <v>8</v>
      </c>
      <c r="U19" s="30">
        <f t="shared" si="10"/>
        <v>31.25</v>
      </c>
      <c r="V19" s="25"/>
      <c r="W19" s="26">
        <f t="shared" ref="W19" si="127">V19-V$6</f>
        <v>0</v>
      </c>
      <c r="X19" s="30">
        <f t="shared" si="12"/>
        <v>0</v>
      </c>
      <c r="Y19" s="25"/>
      <c r="Z19" s="26">
        <f t="shared" ref="Z19" si="128">Y19-Y$6</f>
        <v>0</v>
      </c>
      <c r="AA19" s="30">
        <f t="shared" si="14"/>
        <v>0</v>
      </c>
      <c r="AB19" s="25"/>
      <c r="AC19" s="26">
        <f t="shared" ref="AC19" si="129">AB19-AB$6</f>
        <v>0</v>
      </c>
      <c r="AD19" s="30">
        <f t="shared" si="16"/>
        <v>0</v>
      </c>
      <c r="AE19" s="25"/>
      <c r="AF19" s="26">
        <f t="shared" ref="AF19" si="130">AE19-AE$6</f>
        <v>0</v>
      </c>
      <c r="AG19" s="30">
        <f t="shared" si="18"/>
        <v>0</v>
      </c>
      <c r="AH19" s="25"/>
      <c r="AI19" s="26">
        <f t="shared" ref="AI19" si="131">AH19-AH$6</f>
        <v>0</v>
      </c>
      <c r="AJ19" s="30">
        <f t="shared" si="20"/>
        <v>0</v>
      </c>
      <c r="AK19" s="25"/>
      <c r="AL19" s="26">
        <f t="shared" ref="AL19" si="132">AK19-AK$6</f>
        <v>0</v>
      </c>
      <c r="AM19" s="30">
        <f t="shared" si="22"/>
        <v>0</v>
      </c>
    </row>
    <row r="20" spans="1:39" s="27" customFormat="1" x14ac:dyDescent="0.25">
      <c r="A20" s="24">
        <v>14</v>
      </c>
      <c r="B20" s="19" t="s">
        <v>29</v>
      </c>
      <c r="C20" s="19">
        <v>40</v>
      </c>
      <c r="D20" s="25">
        <v>37</v>
      </c>
      <c r="E20" s="26">
        <f t="shared" si="0"/>
        <v>12</v>
      </c>
      <c r="F20" s="30">
        <f t="shared" si="1"/>
        <v>37</v>
      </c>
      <c r="G20" s="25">
        <v>38</v>
      </c>
      <c r="H20" s="26">
        <f t="shared" si="0"/>
        <v>0</v>
      </c>
      <c r="I20" s="30">
        <f t="shared" si="2"/>
        <v>25</v>
      </c>
      <c r="J20" s="25">
        <v>36</v>
      </c>
      <c r="K20" s="26">
        <f t="shared" ref="K20" si="133">J20-J$6</f>
        <v>8</v>
      </c>
      <c r="L20" s="30">
        <f t="shared" si="4"/>
        <v>32.142857142857146</v>
      </c>
      <c r="M20" s="25">
        <v>42</v>
      </c>
      <c r="N20" s="26">
        <f t="shared" ref="N20" si="134">M20-M$6</f>
        <v>10</v>
      </c>
      <c r="O20" s="30">
        <f t="shared" si="6"/>
        <v>32.8125</v>
      </c>
      <c r="P20" s="25">
        <v>38</v>
      </c>
      <c r="Q20" s="26">
        <f t="shared" ref="Q20" si="135">P20-P$6</f>
        <v>10</v>
      </c>
      <c r="R20" s="30">
        <f t="shared" si="8"/>
        <v>33.928571428571431</v>
      </c>
      <c r="S20" s="25">
        <v>38</v>
      </c>
      <c r="T20" s="26">
        <f t="shared" ref="T20" si="136">S20-S$6</f>
        <v>6</v>
      </c>
      <c r="U20" s="30">
        <f t="shared" si="10"/>
        <v>29.6875</v>
      </c>
      <c r="V20" s="25"/>
      <c r="W20" s="26">
        <f t="shared" ref="W20" si="137">V20-V$6</f>
        <v>0</v>
      </c>
      <c r="X20" s="30">
        <f t="shared" si="12"/>
        <v>0</v>
      </c>
      <c r="Y20" s="25"/>
      <c r="Z20" s="26">
        <f t="shared" ref="Z20" si="138">Y20-Y$6</f>
        <v>0</v>
      </c>
      <c r="AA20" s="30">
        <f t="shared" si="14"/>
        <v>0</v>
      </c>
      <c r="AB20" s="25"/>
      <c r="AC20" s="26">
        <f t="shared" ref="AC20" si="139">AB20-AB$6</f>
        <v>0</v>
      </c>
      <c r="AD20" s="30">
        <f t="shared" si="16"/>
        <v>0</v>
      </c>
      <c r="AE20" s="25"/>
      <c r="AF20" s="26">
        <f t="shared" ref="AF20" si="140">AE20-AE$6</f>
        <v>0</v>
      </c>
      <c r="AG20" s="30">
        <f t="shared" si="18"/>
        <v>0</v>
      </c>
      <c r="AH20" s="25"/>
      <c r="AI20" s="26">
        <f t="shared" ref="AI20" si="141">AH20-AH$6</f>
        <v>0</v>
      </c>
      <c r="AJ20" s="30">
        <f t="shared" si="20"/>
        <v>0</v>
      </c>
      <c r="AK20" s="25"/>
      <c r="AL20" s="26">
        <f t="shared" ref="AL20" si="142">AK20-AK$6</f>
        <v>0</v>
      </c>
      <c r="AM20" s="30">
        <f t="shared" si="22"/>
        <v>0</v>
      </c>
    </row>
    <row r="21" spans="1:39" s="27" customFormat="1" x14ac:dyDescent="0.25">
      <c r="A21" s="24">
        <v>15</v>
      </c>
      <c r="B21" s="19" t="s">
        <v>30</v>
      </c>
      <c r="C21" s="19">
        <v>40</v>
      </c>
      <c r="D21" s="25">
        <v>36</v>
      </c>
      <c r="E21" s="26">
        <f t="shared" si="0"/>
        <v>11</v>
      </c>
      <c r="F21" s="30">
        <f t="shared" si="1"/>
        <v>36</v>
      </c>
      <c r="G21" s="25">
        <v>38</v>
      </c>
      <c r="H21" s="26">
        <f t="shared" si="0"/>
        <v>0</v>
      </c>
      <c r="I21" s="30">
        <f t="shared" si="2"/>
        <v>25</v>
      </c>
      <c r="J21" s="25">
        <v>37</v>
      </c>
      <c r="K21" s="26">
        <f t="shared" ref="K21" si="143">J21-J$6</f>
        <v>9</v>
      </c>
      <c r="L21" s="30">
        <f t="shared" si="4"/>
        <v>33.035714285714285</v>
      </c>
      <c r="M21" s="25">
        <v>41</v>
      </c>
      <c r="N21" s="26">
        <f t="shared" ref="N21" si="144">M21-M$6</f>
        <v>9</v>
      </c>
      <c r="O21" s="30">
        <f t="shared" si="6"/>
        <v>32.03125</v>
      </c>
      <c r="P21" s="25">
        <v>36</v>
      </c>
      <c r="Q21" s="26">
        <f t="shared" ref="Q21" si="145">P21-P$6</f>
        <v>8</v>
      </c>
      <c r="R21" s="30">
        <f t="shared" si="8"/>
        <v>32.142857142857146</v>
      </c>
      <c r="S21" s="25">
        <v>38</v>
      </c>
      <c r="T21" s="26">
        <f t="shared" ref="T21" si="146">S21-S$6</f>
        <v>6</v>
      </c>
      <c r="U21" s="30">
        <f t="shared" si="10"/>
        <v>29.6875</v>
      </c>
      <c r="V21" s="25"/>
      <c r="W21" s="26">
        <f t="shared" ref="W21" si="147">V21-V$6</f>
        <v>0</v>
      </c>
      <c r="X21" s="30">
        <f t="shared" si="12"/>
        <v>0</v>
      </c>
      <c r="Y21" s="25"/>
      <c r="Z21" s="26">
        <f t="shared" ref="Z21" si="148">Y21-Y$6</f>
        <v>0</v>
      </c>
      <c r="AA21" s="30">
        <f t="shared" si="14"/>
        <v>0</v>
      </c>
      <c r="AB21" s="25"/>
      <c r="AC21" s="26">
        <f t="shared" ref="AC21" si="149">AB21-AB$6</f>
        <v>0</v>
      </c>
      <c r="AD21" s="30">
        <f t="shared" si="16"/>
        <v>0</v>
      </c>
      <c r="AE21" s="25"/>
      <c r="AF21" s="26">
        <f t="shared" ref="AF21" si="150">AE21-AE$6</f>
        <v>0</v>
      </c>
      <c r="AG21" s="30">
        <f t="shared" si="18"/>
        <v>0</v>
      </c>
      <c r="AH21" s="25"/>
      <c r="AI21" s="26">
        <f t="shared" ref="AI21" si="151">AH21-AH$6</f>
        <v>0</v>
      </c>
      <c r="AJ21" s="30">
        <f t="shared" si="20"/>
        <v>0</v>
      </c>
      <c r="AK21" s="25"/>
      <c r="AL21" s="26">
        <f t="shared" ref="AL21" si="152">AK21-AK$6</f>
        <v>0</v>
      </c>
      <c r="AM21" s="30">
        <f t="shared" si="22"/>
        <v>0</v>
      </c>
    </row>
    <row r="22" spans="1:39" s="27" customFormat="1" x14ac:dyDescent="0.25">
      <c r="A22" s="24">
        <v>16</v>
      </c>
      <c r="B22" s="19" t="s">
        <v>38</v>
      </c>
      <c r="C22" s="19">
        <v>40</v>
      </c>
      <c r="D22" s="25">
        <v>35</v>
      </c>
      <c r="E22" s="26">
        <f t="shared" si="0"/>
        <v>10</v>
      </c>
      <c r="F22" s="30">
        <f t="shared" si="1"/>
        <v>35</v>
      </c>
      <c r="G22" s="25">
        <v>36</v>
      </c>
      <c r="H22" s="26">
        <f t="shared" si="0"/>
        <v>-2</v>
      </c>
      <c r="I22" s="30">
        <f t="shared" si="2"/>
        <v>23.684210526315788</v>
      </c>
      <c r="J22" s="25">
        <v>36</v>
      </c>
      <c r="K22" s="26">
        <f t="shared" ref="K22" si="153">J22-J$6</f>
        <v>8</v>
      </c>
      <c r="L22" s="30">
        <f t="shared" si="4"/>
        <v>32.142857142857146</v>
      </c>
      <c r="M22" s="25"/>
      <c r="N22" s="26">
        <f t="shared" ref="N22" si="154">M22-M$6</f>
        <v>-32</v>
      </c>
      <c r="O22" s="30">
        <f t="shared" si="6"/>
        <v>0</v>
      </c>
      <c r="P22" s="25">
        <v>36</v>
      </c>
      <c r="Q22" s="26">
        <f t="shared" ref="Q22" si="155">P22-P$6</f>
        <v>8</v>
      </c>
      <c r="R22" s="30">
        <f t="shared" si="8"/>
        <v>32.142857142857146</v>
      </c>
      <c r="S22" s="25">
        <v>36</v>
      </c>
      <c r="T22" s="26">
        <f t="shared" ref="T22" si="156">S22-S$6</f>
        <v>4</v>
      </c>
      <c r="U22" s="30">
        <f t="shared" si="10"/>
        <v>28.125</v>
      </c>
      <c r="V22" s="25"/>
      <c r="W22" s="26">
        <f t="shared" ref="W22" si="157">V22-V$6</f>
        <v>0</v>
      </c>
      <c r="X22" s="30">
        <f t="shared" si="12"/>
        <v>0</v>
      </c>
      <c r="Y22" s="25"/>
      <c r="Z22" s="26">
        <f t="shared" ref="Z22" si="158">Y22-Y$6</f>
        <v>0</v>
      </c>
      <c r="AA22" s="30">
        <f t="shared" si="14"/>
        <v>0</v>
      </c>
      <c r="AB22" s="25"/>
      <c r="AC22" s="26">
        <f t="shared" ref="AC22" si="159">AB22-AB$6</f>
        <v>0</v>
      </c>
      <c r="AD22" s="30">
        <f t="shared" si="16"/>
        <v>0</v>
      </c>
      <c r="AE22" s="25"/>
      <c r="AF22" s="26">
        <f t="shared" ref="AF22" si="160">AE22-AE$6</f>
        <v>0</v>
      </c>
      <c r="AG22" s="30">
        <f t="shared" si="18"/>
        <v>0</v>
      </c>
      <c r="AH22" s="25"/>
      <c r="AI22" s="26">
        <f t="shared" ref="AI22" si="161">AH22-AH$6</f>
        <v>0</v>
      </c>
      <c r="AJ22" s="30">
        <f t="shared" si="20"/>
        <v>0</v>
      </c>
      <c r="AK22" s="25"/>
      <c r="AL22" s="26">
        <f t="shared" ref="AL22" si="162">AK22-AK$6</f>
        <v>0</v>
      </c>
      <c r="AM22" s="30">
        <f t="shared" si="22"/>
        <v>0</v>
      </c>
    </row>
    <row r="23" spans="1:39" s="27" customFormat="1" x14ac:dyDescent="0.25">
      <c r="A23" s="24">
        <v>17</v>
      </c>
      <c r="B23" s="19" t="s">
        <v>31</v>
      </c>
      <c r="C23" s="19">
        <v>45</v>
      </c>
      <c r="D23" s="25"/>
      <c r="E23" s="26">
        <f t="shared" si="0"/>
        <v>-25</v>
      </c>
      <c r="F23" s="30">
        <f t="shared" si="1"/>
        <v>0</v>
      </c>
      <c r="G23" s="25">
        <v>44</v>
      </c>
      <c r="H23" s="26">
        <f t="shared" si="0"/>
        <v>6</v>
      </c>
      <c r="I23" s="30">
        <f t="shared" si="2"/>
        <v>28.947368421052634</v>
      </c>
      <c r="J23" s="25">
        <v>39</v>
      </c>
      <c r="K23" s="26">
        <f t="shared" ref="K23" si="163">J23-J$6</f>
        <v>11</v>
      </c>
      <c r="L23" s="30">
        <f t="shared" si="4"/>
        <v>34.821428571428569</v>
      </c>
      <c r="M23" s="25">
        <v>48</v>
      </c>
      <c r="N23" s="26">
        <f t="shared" ref="N23" si="164">M23-M$6</f>
        <v>16</v>
      </c>
      <c r="O23" s="30">
        <f t="shared" si="6"/>
        <v>37.5</v>
      </c>
      <c r="P23" s="25">
        <v>38</v>
      </c>
      <c r="Q23" s="26">
        <f t="shared" ref="Q23" si="165">P23-P$6</f>
        <v>10</v>
      </c>
      <c r="R23" s="30">
        <f t="shared" si="8"/>
        <v>33.928571428571431</v>
      </c>
      <c r="S23" s="25">
        <v>44</v>
      </c>
      <c r="T23" s="26">
        <f t="shared" ref="T23" si="166">S23-S$6</f>
        <v>12</v>
      </c>
      <c r="U23" s="30">
        <f t="shared" si="10"/>
        <v>34.375</v>
      </c>
      <c r="V23" s="25"/>
      <c r="W23" s="26">
        <f t="shared" ref="W23" si="167">V23-V$6</f>
        <v>0</v>
      </c>
      <c r="X23" s="30">
        <f t="shared" si="12"/>
        <v>0</v>
      </c>
      <c r="Y23" s="25"/>
      <c r="Z23" s="26">
        <f t="shared" ref="Z23" si="168">Y23-Y$6</f>
        <v>0</v>
      </c>
      <c r="AA23" s="30">
        <f t="shared" si="14"/>
        <v>0</v>
      </c>
      <c r="AB23" s="25"/>
      <c r="AC23" s="26">
        <f t="shared" ref="AC23" si="169">AB23-AB$6</f>
        <v>0</v>
      </c>
      <c r="AD23" s="30">
        <f t="shared" si="16"/>
        <v>0</v>
      </c>
      <c r="AE23" s="25"/>
      <c r="AF23" s="26">
        <f t="shared" ref="AF23" si="170">AE23-AE$6</f>
        <v>0</v>
      </c>
      <c r="AG23" s="30">
        <f t="shared" si="18"/>
        <v>0</v>
      </c>
      <c r="AH23" s="25"/>
      <c r="AI23" s="26">
        <f t="shared" ref="AI23" si="171">AH23-AH$6</f>
        <v>0</v>
      </c>
      <c r="AJ23" s="30">
        <f t="shared" si="20"/>
        <v>0</v>
      </c>
      <c r="AK23" s="25"/>
      <c r="AL23" s="26">
        <f t="shared" ref="AL23" si="172">AK23-AK$6</f>
        <v>0</v>
      </c>
      <c r="AM23" s="30">
        <f t="shared" si="22"/>
        <v>0</v>
      </c>
    </row>
    <row r="24" spans="1:39" s="27" customFormat="1" x14ac:dyDescent="0.25">
      <c r="A24" s="24">
        <v>18</v>
      </c>
      <c r="B24" s="19" t="s">
        <v>32</v>
      </c>
      <c r="C24" s="19">
        <v>45</v>
      </c>
      <c r="D24" s="25">
        <v>38</v>
      </c>
      <c r="E24" s="26">
        <f t="shared" si="0"/>
        <v>13</v>
      </c>
      <c r="F24" s="30">
        <f t="shared" si="1"/>
        <v>38</v>
      </c>
      <c r="G24" s="25"/>
      <c r="H24" s="26">
        <f t="shared" si="0"/>
        <v>-38</v>
      </c>
      <c r="I24" s="30">
        <f t="shared" si="2"/>
        <v>0</v>
      </c>
      <c r="J24" s="25"/>
      <c r="K24" s="26">
        <f t="shared" ref="K24" si="173">J24-J$6</f>
        <v>-28</v>
      </c>
      <c r="L24" s="30">
        <f t="shared" si="4"/>
        <v>0</v>
      </c>
      <c r="M24" s="25"/>
      <c r="N24" s="26">
        <f t="shared" ref="N24" si="174">M24-M$6</f>
        <v>-32</v>
      </c>
      <c r="O24" s="30">
        <f t="shared" si="6"/>
        <v>0</v>
      </c>
      <c r="P24" s="25"/>
      <c r="Q24" s="26">
        <f t="shared" ref="Q24" si="175">P24-P$6</f>
        <v>-28</v>
      </c>
      <c r="R24" s="30">
        <f t="shared" si="8"/>
        <v>0</v>
      </c>
      <c r="S24" s="25"/>
      <c r="T24" s="26">
        <f t="shared" ref="T24" si="176">S24-S$6</f>
        <v>-32</v>
      </c>
      <c r="U24" s="30">
        <f t="shared" si="10"/>
        <v>0</v>
      </c>
      <c r="V24" s="25"/>
      <c r="W24" s="26">
        <f t="shared" ref="W24" si="177">V24-V$6</f>
        <v>0</v>
      </c>
      <c r="X24" s="30">
        <f t="shared" si="12"/>
        <v>0</v>
      </c>
      <c r="Y24" s="25"/>
      <c r="Z24" s="26">
        <f t="shared" ref="Z24" si="178">Y24-Y$6</f>
        <v>0</v>
      </c>
      <c r="AA24" s="30">
        <f t="shared" si="14"/>
        <v>0</v>
      </c>
      <c r="AB24" s="25"/>
      <c r="AC24" s="26">
        <f t="shared" ref="AC24" si="179">AB24-AB$6</f>
        <v>0</v>
      </c>
      <c r="AD24" s="30">
        <f t="shared" si="16"/>
        <v>0</v>
      </c>
      <c r="AE24" s="25"/>
      <c r="AF24" s="26">
        <f t="shared" ref="AF24" si="180">AE24-AE$6</f>
        <v>0</v>
      </c>
      <c r="AG24" s="30">
        <f t="shared" si="18"/>
        <v>0</v>
      </c>
      <c r="AH24" s="25"/>
      <c r="AI24" s="26">
        <f t="shared" ref="AI24" si="181">AH24-AH$6</f>
        <v>0</v>
      </c>
      <c r="AJ24" s="30">
        <f t="shared" si="20"/>
        <v>0</v>
      </c>
      <c r="AK24" s="25"/>
      <c r="AL24" s="26">
        <f t="shared" ref="AL24" si="182">AK24-AK$6</f>
        <v>0</v>
      </c>
      <c r="AM24" s="30">
        <f t="shared" si="22"/>
        <v>0</v>
      </c>
    </row>
    <row r="25" spans="1:39" s="27" customFormat="1" x14ac:dyDescent="0.25">
      <c r="A25" s="24">
        <v>19</v>
      </c>
      <c r="B25" s="19" t="s">
        <v>35</v>
      </c>
      <c r="C25" s="19">
        <v>45</v>
      </c>
      <c r="D25" s="25"/>
      <c r="E25" s="26">
        <f t="shared" si="0"/>
        <v>-25</v>
      </c>
      <c r="F25" s="30">
        <f t="shared" si="1"/>
        <v>0</v>
      </c>
      <c r="G25" s="25"/>
      <c r="H25" s="26">
        <f t="shared" si="0"/>
        <v>-38</v>
      </c>
      <c r="I25" s="30">
        <f t="shared" si="2"/>
        <v>0</v>
      </c>
      <c r="J25" s="25"/>
      <c r="K25" s="26">
        <f t="shared" ref="K25" si="183">J25-J$6</f>
        <v>-28</v>
      </c>
      <c r="L25" s="30">
        <f t="shared" si="4"/>
        <v>0</v>
      </c>
      <c r="M25" s="25">
        <v>42</v>
      </c>
      <c r="N25" s="26">
        <f t="shared" ref="N25" si="184">M25-M$6</f>
        <v>10</v>
      </c>
      <c r="O25" s="30">
        <f t="shared" si="6"/>
        <v>32.8125</v>
      </c>
      <c r="P25" s="25"/>
      <c r="Q25" s="26">
        <f t="shared" ref="Q25" si="185">P25-P$6</f>
        <v>-28</v>
      </c>
      <c r="R25" s="30">
        <f t="shared" si="8"/>
        <v>0</v>
      </c>
      <c r="S25" s="25"/>
      <c r="T25" s="26">
        <f t="shared" ref="T25" si="186">S25-S$6</f>
        <v>-32</v>
      </c>
      <c r="U25" s="30">
        <f t="shared" si="10"/>
        <v>0</v>
      </c>
      <c r="V25" s="25"/>
      <c r="W25" s="26">
        <f t="shared" ref="W25" si="187">V25-V$6</f>
        <v>0</v>
      </c>
      <c r="X25" s="30">
        <f t="shared" si="12"/>
        <v>0</v>
      </c>
      <c r="Y25" s="25"/>
      <c r="Z25" s="26">
        <f t="shared" ref="Z25" si="188">Y25-Y$6</f>
        <v>0</v>
      </c>
      <c r="AA25" s="30">
        <f t="shared" si="14"/>
        <v>0</v>
      </c>
      <c r="AB25" s="25"/>
      <c r="AC25" s="26">
        <f t="shared" ref="AC25" si="189">AB25-AB$6</f>
        <v>0</v>
      </c>
      <c r="AD25" s="30">
        <f t="shared" si="16"/>
        <v>0</v>
      </c>
      <c r="AE25" s="25"/>
      <c r="AF25" s="26">
        <f t="shared" ref="AF25" si="190">AE25-AE$6</f>
        <v>0</v>
      </c>
      <c r="AG25" s="30">
        <f t="shared" si="18"/>
        <v>0</v>
      </c>
      <c r="AH25" s="25"/>
      <c r="AI25" s="26">
        <f t="shared" ref="AI25" si="191">AH25-AH$6</f>
        <v>0</v>
      </c>
      <c r="AJ25" s="30">
        <f t="shared" si="20"/>
        <v>0</v>
      </c>
      <c r="AK25" s="25"/>
      <c r="AL25" s="26">
        <f t="shared" ref="AL25" si="192">AK25-AK$6</f>
        <v>0</v>
      </c>
      <c r="AM25" s="30">
        <f t="shared" si="22"/>
        <v>0</v>
      </c>
    </row>
    <row r="26" spans="1:39" s="27" customFormat="1" x14ac:dyDescent="0.25">
      <c r="A26" s="24">
        <v>20</v>
      </c>
      <c r="B26" s="19" t="s">
        <v>33</v>
      </c>
      <c r="C26" s="19">
        <v>40</v>
      </c>
      <c r="D26" s="25">
        <v>36</v>
      </c>
      <c r="E26" s="26">
        <f t="shared" si="0"/>
        <v>11</v>
      </c>
      <c r="F26" s="30">
        <f t="shared" si="1"/>
        <v>36</v>
      </c>
      <c r="G26" s="25">
        <v>44</v>
      </c>
      <c r="H26" s="26">
        <f t="shared" si="0"/>
        <v>6</v>
      </c>
      <c r="I26" s="30">
        <f t="shared" si="2"/>
        <v>28.947368421052634</v>
      </c>
      <c r="J26" s="25">
        <v>35</v>
      </c>
      <c r="K26" s="26">
        <f t="shared" ref="K26" si="193">J26-J$6</f>
        <v>7</v>
      </c>
      <c r="L26" s="30">
        <f t="shared" si="4"/>
        <v>31.25</v>
      </c>
      <c r="M26" s="25">
        <v>39</v>
      </c>
      <c r="N26" s="26">
        <f t="shared" ref="N26" si="194">M26-M$6</f>
        <v>7</v>
      </c>
      <c r="O26" s="30">
        <f t="shared" si="6"/>
        <v>30.46875</v>
      </c>
      <c r="P26" s="25">
        <v>38</v>
      </c>
      <c r="Q26" s="26">
        <f t="shared" ref="Q26" si="195">P26-P$6</f>
        <v>10</v>
      </c>
      <c r="R26" s="30">
        <f t="shared" si="8"/>
        <v>33.928571428571431</v>
      </c>
      <c r="S26" s="25">
        <v>44</v>
      </c>
      <c r="T26" s="26">
        <f t="shared" ref="T26" si="196">S26-S$6</f>
        <v>12</v>
      </c>
      <c r="U26" s="30">
        <f t="shared" si="10"/>
        <v>34.375</v>
      </c>
      <c r="V26" s="25"/>
      <c r="W26" s="26">
        <f t="shared" ref="W26" si="197">V26-V$6</f>
        <v>0</v>
      </c>
      <c r="X26" s="30">
        <f t="shared" si="12"/>
        <v>0</v>
      </c>
      <c r="Y26" s="25"/>
      <c r="Z26" s="26">
        <f t="shared" ref="Z26" si="198">Y26-Y$6</f>
        <v>0</v>
      </c>
      <c r="AA26" s="30">
        <f t="shared" si="14"/>
        <v>0</v>
      </c>
      <c r="AB26" s="25"/>
      <c r="AC26" s="26">
        <f t="shared" ref="AC26" si="199">AB26-AB$6</f>
        <v>0</v>
      </c>
      <c r="AD26" s="30">
        <f t="shared" si="16"/>
        <v>0</v>
      </c>
      <c r="AE26" s="25"/>
      <c r="AF26" s="26">
        <f t="shared" ref="AF26" si="200">AE26-AE$6</f>
        <v>0</v>
      </c>
      <c r="AG26" s="30">
        <f t="shared" si="18"/>
        <v>0</v>
      </c>
      <c r="AH26" s="25"/>
      <c r="AI26" s="26">
        <f t="shared" ref="AI26" si="201">AH26-AH$6</f>
        <v>0</v>
      </c>
      <c r="AJ26" s="30">
        <f t="shared" si="20"/>
        <v>0</v>
      </c>
      <c r="AK26" s="25"/>
      <c r="AL26" s="26">
        <f t="shared" ref="AL26" si="202">AK26-AK$6</f>
        <v>0</v>
      </c>
      <c r="AM26" s="30">
        <f t="shared" si="22"/>
        <v>0</v>
      </c>
    </row>
    <row r="27" spans="1:39" s="27" customFormat="1" x14ac:dyDescent="0.25">
      <c r="A27" s="24">
        <v>21</v>
      </c>
      <c r="B27" s="19" t="s">
        <v>34</v>
      </c>
      <c r="C27" s="19">
        <v>45</v>
      </c>
      <c r="D27" s="25">
        <v>34</v>
      </c>
      <c r="E27" s="26">
        <f t="shared" si="0"/>
        <v>9</v>
      </c>
      <c r="F27" s="30">
        <f t="shared" si="1"/>
        <v>34</v>
      </c>
      <c r="G27" s="25">
        <v>39</v>
      </c>
      <c r="H27" s="26">
        <f t="shared" si="0"/>
        <v>1</v>
      </c>
      <c r="I27" s="30">
        <f t="shared" si="2"/>
        <v>25.657894736842106</v>
      </c>
      <c r="J27" s="25">
        <v>34</v>
      </c>
      <c r="K27" s="26">
        <f t="shared" ref="K27" si="203">J27-J$6</f>
        <v>6</v>
      </c>
      <c r="L27" s="30">
        <f t="shared" si="4"/>
        <v>30.357142857142854</v>
      </c>
      <c r="M27" s="25">
        <v>42</v>
      </c>
      <c r="N27" s="26">
        <f t="shared" ref="N27" si="204">M27-M$6</f>
        <v>10</v>
      </c>
      <c r="O27" s="30">
        <f t="shared" si="6"/>
        <v>32.8125</v>
      </c>
      <c r="P27" s="25">
        <v>36</v>
      </c>
      <c r="Q27" s="26">
        <f t="shared" ref="Q27" si="205">P27-P$6</f>
        <v>8</v>
      </c>
      <c r="R27" s="30">
        <f t="shared" si="8"/>
        <v>32.142857142857146</v>
      </c>
      <c r="S27" s="25">
        <v>39</v>
      </c>
      <c r="T27" s="26">
        <f t="shared" ref="T27" si="206">S27-S$6</f>
        <v>7</v>
      </c>
      <c r="U27" s="30">
        <f t="shared" si="10"/>
        <v>30.46875</v>
      </c>
      <c r="V27" s="25"/>
      <c r="W27" s="26">
        <f t="shared" ref="W27" si="207">V27-V$6</f>
        <v>0</v>
      </c>
      <c r="X27" s="30">
        <f t="shared" si="12"/>
        <v>0</v>
      </c>
      <c r="Y27" s="25"/>
      <c r="Z27" s="26">
        <f t="shared" ref="Z27" si="208">Y27-Y$6</f>
        <v>0</v>
      </c>
      <c r="AA27" s="30">
        <f t="shared" si="14"/>
        <v>0</v>
      </c>
      <c r="AB27" s="25"/>
      <c r="AC27" s="26">
        <f t="shared" ref="AC27" si="209">AB27-AB$6</f>
        <v>0</v>
      </c>
      <c r="AD27" s="30">
        <f t="shared" si="16"/>
        <v>0</v>
      </c>
      <c r="AE27" s="25"/>
      <c r="AF27" s="26">
        <f t="shared" ref="AF27" si="210">AE27-AE$6</f>
        <v>0</v>
      </c>
      <c r="AG27" s="30">
        <f t="shared" si="18"/>
        <v>0</v>
      </c>
      <c r="AH27" s="25"/>
      <c r="AI27" s="26">
        <f t="shared" ref="AI27" si="211">AH27-AH$6</f>
        <v>0</v>
      </c>
      <c r="AJ27" s="30">
        <f t="shared" si="20"/>
        <v>0</v>
      </c>
      <c r="AK27" s="25"/>
      <c r="AL27" s="26">
        <f t="shared" ref="AL27" si="212">AK27-AK$6</f>
        <v>0</v>
      </c>
      <c r="AM27" s="30">
        <f t="shared" si="22"/>
        <v>0</v>
      </c>
    </row>
    <row r="28" spans="1:39" s="27" customFormat="1" x14ac:dyDescent="0.25">
      <c r="A28" s="24">
        <v>22</v>
      </c>
      <c r="B28" s="19" t="s">
        <v>36</v>
      </c>
      <c r="C28" s="19">
        <v>50</v>
      </c>
      <c r="D28" s="25">
        <v>36</v>
      </c>
      <c r="E28" s="26">
        <f t="shared" si="0"/>
        <v>11</v>
      </c>
      <c r="F28" s="30">
        <f t="shared" si="1"/>
        <v>36</v>
      </c>
      <c r="G28" s="25"/>
      <c r="H28" s="26">
        <f t="shared" si="0"/>
        <v>-38</v>
      </c>
      <c r="I28" s="30">
        <f t="shared" si="2"/>
        <v>0</v>
      </c>
      <c r="J28" s="25">
        <v>33</v>
      </c>
      <c r="K28" s="26">
        <f t="shared" ref="K28" si="213">J28-J$6</f>
        <v>5</v>
      </c>
      <c r="L28" s="30">
        <f t="shared" si="4"/>
        <v>29.464285714285715</v>
      </c>
      <c r="M28" s="25">
        <v>41</v>
      </c>
      <c r="N28" s="26">
        <f t="shared" ref="N28" si="214">M28-M$6</f>
        <v>9</v>
      </c>
      <c r="O28" s="30">
        <f t="shared" si="6"/>
        <v>32.03125</v>
      </c>
      <c r="P28" s="25"/>
      <c r="Q28" s="26">
        <f t="shared" ref="Q28" si="215">P28-P$6</f>
        <v>-28</v>
      </c>
      <c r="R28" s="30">
        <f t="shared" si="8"/>
        <v>0</v>
      </c>
      <c r="S28" s="25"/>
      <c r="T28" s="26">
        <f t="shared" ref="T28" si="216">S28-S$6</f>
        <v>-32</v>
      </c>
      <c r="U28" s="30">
        <f t="shared" si="10"/>
        <v>0</v>
      </c>
      <c r="V28" s="25"/>
      <c r="W28" s="26">
        <f t="shared" ref="W28" si="217">V28-V$6</f>
        <v>0</v>
      </c>
      <c r="X28" s="30">
        <f t="shared" si="12"/>
        <v>0</v>
      </c>
      <c r="Y28" s="25"/>
      <c r="Z28" s="26">
        <f t="shared" ref="Z28" si="218">Y28-Y$6</f>
        <v>0</v>
      </c>
      <c r="AA28" s="30">
        <f t="shared" si="14"/>
        <v>0</v>
      </c>
      <c r="AB28" s="25"/>
      <c r="AC28" s="26">
        <f t="shared" ref="AC28" si="219">AB28-AB$6</f>
        <v>0</v>
      </c>
      <c r="AD28" s="30">
        <f t="shared" si="16"/>
        <v>0</v>
      </c>
      <c r="AE28" s="25"/>
      <c r="AF28" s="26">
        <f t="shared" ref="AF28" si="220">AE28-AE$6</f>
        <v>0</v>
      </c>
      <c r="AG28" s="30">
        <f t="shared" si="18"/>
        <v>0</v>
      </c>
      <c r="AH28" s="25"/>
      <c r="AI28" s="26">
        <f t="shared" ref="AI28" si="221">AH28-AH$6</f>
        <v>0</v>
      </c>
      <c r="AJ28" s="30">
        <f t="shared" si="20"/>
        <v>0</v>
      </c>
      <c r="AK28" s="25"/>
      <c r="AL28" s="26">
        <f t="shared" ref="AL28" si="222">AK28-AK$6</f>
        <v>0</v>
      </c>
      <c r="AM28" s="30">
        <f t="shared" si="22"/>
        <v>0</v>
      </c>
    </row>
    <row r="29" spans="1:39" s="27" customFormat="1" x14ac:dyDescent="0.25">
      <c r="A29" s="24">
        <v>23</v>
      </c>
      <c r="B29" s="19" t="s">
        <v>37</v>
      </c>
      <c r="C29" s="19">
        <v>50</v>
      </c>
      <c r="D29" s="25"/>
      <c r="E29" s="26">
        <f t="shared" si="0"/>
        <v>-25</v>
      </c>
      <c r="F29" s="30">
        <f t="shared" si="1"/>
        <v>0</v>
      </c>
      <c r="G29" s="25">
        <v>42</v>
      </c>
      <c r="H29" s="26">
        <f t="shared" si="0"/>
        <v>4</v>
      </c>
      <c r="I29" s="30">
        <f t="shared" si="2"/>
        <v>27.631578947368425</v>
      </c>
      <c r="J29" s="25">
        <v>33</v>
      </c>
      <c r="K29" s="26">
        <f t="shared" ref="K29" si="223">J29-J$6</f>
        <v>5</v>
      </c>
      <c r="L29" s="30">
        <f t="shared" si="4"/>
        <v>29.464285714285715</v>
      </c>
      <c r="M29" s="25">
        <v>42</v>
      </c>
      <c r="N29" s="26">
        <f t="shared" ref="N29" si="224">M29-M$6</f>
        <v>10</v>
      </c>
      <c r="O29" s="30">
        <f t="shared" si="6"/>
        <v>32.8125</v>
      </c>
      <c r="P29" s="25">
        <v>38</v>
      </c>
      <c r="Q29" s="26">
        <f t="shared" ref="Q29" si="225">P29-P$6</f>
        <v>10</v>
      </c>
      <c r="R29" s="30">
        <f t="shared" si="8"/>
        <v>33.928571428571431</v>
      </c>
      <c r="S29" s="25">
        <v>42</v>
      </c>
      <c r="T29" s="26">
        <f t="shared" ref="T29" si="226">S29-S$6</f>
        <v>10</v>
      </c>
      <c r="U29" s="30">
        <f t="shared" si="10"/>
        <v>32.8125</v>
      </c>
      <c r="V29" s="25"/>
      <c r="W29" s="26">
        <f t="shared" ref="W29" si="227">V29-V$6</f>
        <v>0</v>
      </c>
      <c r="X29" s="30">
        <f t="shared" si="12"/>
        <v>0</v>
      </c>
      <c r="Y29" s="25"/>
      <c r="Z29" s="26">
        <f t="shared" ref="Z29" si="228">Y29-Y$6</f>
        <v>0</v>
      </c>
      <c r="AA29" s="30">
        <f t="shared" si="14"/>
        <v>0</v>
      </c>
      <c r="AB29" s="25"/>
      <c r="AC29" s="26">
        <f t="shared" ref="AC29" si="229">AB29-AB$6</f>
        <v>0</v>
      </c>
      <c r="AD29" s="30">
        <f t="shared" si="16"/>
        <v>0</v>
      </c>
      <c r="AE29" s="25"/>
      <c r="AF29" s="26">
        <f t="shared" ref="AF29" si="230">AE29-AE$6</f>
        <v>0</v>
      </c>
      <c r="AG29" s="30">
        <f t="shared" si="18"/>
        <v>0</v>
      </c>
      <c r="AH29" s="25"/>
      <c r="AI29" s="26">
        <f t="shared" ref="AI29" si="231">AH29-AH$6</f>
        <v>0</v>
      </c>
      <c r="AJ29" s="30">
        <f t="shared" si="20"/>
        <v>0</v>
      </c>
      <c r="AK29" s="25"/>
      <c r="AL29" s="26">
        <f t="shared" ref="AL29" si="232">AK29-AK$6</f>
        <v>0</v>
      </c>
      <c r="AM29" s="30">
        <f t="shared" si="22"/>
        <v>0</v>
      </c>
    </row>
    <row r="30" spans="1:39" s="27" customFormat="1" x14ac:dyDescent="0.25">
      <c r="A30" s="24">
        <v>24</v>
      </c>
      <c r="B30" s="19" t="s">
        <v>45</v>
      </c>
      <c r="C30" s="19">
        <v>50</v>
      </c>
      <c r="D30" s="25"/>
      <c r="E30" s="26">
        <f t="shared" si="0"/>
        <v>-25</v>
      </c>
      <c r="F30" s="30">
        <f t="shared" si="1"/>
        <v>0</v>
      </c>
      <c r="G30" s="25">
        <v>44</v>
      </c>
      <c r="H30" s="26">
        <f t="shared" si="0"/>
        <v>6</v>
      </c>
      <c r="I30" s="30">
        <f t="shared" si="2"/>
        <v>28.947368421052634</v>
      </c>
      <c r="J30" s="25">
        <v>0</v>
      </c>
      <c r="K30" s="26">
        <f t="shared" ref="K30" si="233">J30-J$6</f>
        <v>-28</v>
      </c>
      <c r="L30" s="30">
        <f t="shared" si="4"/>
        <v>0</v>
      </c>
      <c r="M30" s="25">
        <v>43</v>
      </c>
      <c r="N30" s="26">
        <f t="shared" ref="N30" si="234">M30-M$6</f>
        <v>11</v>
      </c>
      <c r="O30" s="30">
        <f t="shared" si="6"/>
        <v>33.59375</v>
      </c>
      <c r="P30" s="25"/>
      <c r="Q30" s="26">
        <f t="shared" ref="Q30" si="235">P30-P$6</f>
        <v>-28</v>
      </c>
      <c r="R30" s="30">
        <f t="shared" si="8"/>
        <v>0</v>
      </c>
      <c r="S30" s="25">
        <v>44</v>
      </c>
      <c r="T30" s="26">
        <f t="shared" ref="T30" si="236">S30-S$6</f>
        <v>12</v>
      </c>
      <c r="U30" s="30">
        <f t="shared" si="10"/>
        <v>34.375</v>
      </c>
      <c r="V30" s="25"/>
      <c r="W30" s="26">
        <f t="shared" ref="W30" si="237">V30-V$6</f>
        <v>0</v>
      </c>
      <c r="X30" s="30">
        <f t="shared" si="12"/>
        <v>0</v>
      </c>
      <c r="Y30" s="25"/>
      <c r="Z30" s="26">
        <f t="shared" ref="Z30" si="238">Y30-Y$6</f>
        <v>0</v>
      </c>
      <c r="AA30" s="30">
        <f t="shared" si="14"/>
        <v>0</v>
      </c>
      <c r="AB30" s="25"/>
      <c r="AC30" s="26">
        <f t="shared" ref="AC30" si="239">AB30-AB$6</f>
        <v>0</v>
      </c>
      <c r="AD30" s="30">
        <f t="shared" si="16"/>
        <v>0</v>
      </c>
      <c r="AE30" s="25"/>
      <c r="AF30" s="26">
        <f t="shared" ref="AF30" si="240">AE30-AE$6</f>
        <v>0</v>
      </c>
      <c r="AG30" s="30">
        <f t="shared" si="18"/>
        <v>0</v>
      </c>
      <c r="AH30" s="25"/>
      <c r="AI30" s="26">
        <f t="shared" ref="AI30" si="241">AH30-AH$6</f>
        <v>0</v>
      </c>
      <c r="AJ30" s="30">
        <f t="shared" si="20"/>
        <v>0</v>
      </c>
      <c r="AK30" s="25"/>
      <c r="AL30" s="26">
        <f t="shared" ref="AL30" si="242">AK30-AK$6</f>
        <v>0</v>
      </c>
      <c r="AM30" s="30">
        <f t="shared" si="22"/>
        <v>0</v>
      </c>
    </row>
    <row r="31" spans="1:39" s="27" customFormat="1" x14ac:dyDescent="0.25">
      <c r="A31" s="24">
        <v>25</v>
      </c>
      <c r="B31" s="19" t="s">
        <v>46</v>
      </c>
      <c r="C31" s="19">
        <v>50</v>
      </c>
      <c r="D31" s="25">
        <v>36</v>
      </c>
      <c r="E31" s="26">
        <f t="shared" si="0"/>
        <v>11</v>
      </c>
      <c r="F31" s="30">
        <f t="shared" si="1"/>
        <v>36</v>
      </c>
      <c r="G31" s="25"/>
      <c r="H31" s="26">
        <f t="shared" si="0"/>
        <v>-38</v>
      </c>
      <c r="I31" s="30">
        <f t="shared" si="2"/>
        <v>0</v>
      </c>
      <c r="J31" s="25">
        <v>37</v>
      </c>
      <c r="K31" s="26">
        <f t="shared" ref="K31" si="243">J31-J$6</f>
        <v>9</v>
      </c>
      <c r="L31" s="30">
        <f t="shared" si="4"/>
        <v>33.035714285714285</v>
      </c>
      <c r="M31" s="25"/>
      <c r="N31" s="26">
        <f t="shared" ref="N31" si="244">M31-M$6</f>
        <v>-32</v>
      </c>
      <c r="O31" s="30">
        <f t="shared" si="6"/>
        <v>0</v>
      </c>
      <c r="P31" s="25">
        <v>40</v>
      </c>
      <c r="Q31" s="26">
        <f t="shared" ref="Q31" si="245">P31-P$6</f>
        <v>12</v>
      </c>
      <c r="R31" s="30">
        <f t="shared" si="8"/>
        <v>35.714285714285715</v>
      </c>
      <c r="S31" s="25"/>
      <c r="T31" s="26">
        <f t="shared" ref="T31" si="246">S31-S$6</f>
        <v>-32</v>
      </c>
      <c r="U31" s="30">
        <f t="shared" si="10"/>
        <v>0</v>
      </c>
      <c r="V31" s="25"/>
      <c r="W31" s="26">
        <f t="shared" ref="W31" si="247">V31-V$6</f>
        <v>0</v>
      </c>
      <c r="X31" s="30">
        <f t="shared" si="12"/>
        <v>0</v>
      </c>
      <c r="Y31" s="25"/>
      <c r="Z31" s="26">
        <f t="shared" ref="Z31" si="248">Y31-Y$6</f>
        <v>0</v>
      </c>
      <c r="AA31" s="30">
        <f t="shared" si="14"/>
        <v>0</v>
      </c>
      <c r="AB31" s="25"/>
      <c r="AC31" s="26">
        <f t="shared" ref="AC31" si="249">AB31-AB$6</f>
        <v>0</v>
      </c>
      <c r="AD31" s="30">
        <f t="shared" si="16"/>
        <v>0</v>
      </c>
      <c r="AE31" s="25"/>
      <c r="AF31" s="26">
        <f t="shared" ref="AF31" si="250">AE31-AE$6</f>
        <v>0</v>
      </c>
      <c r="AG31" s="30">
        <f t="shared" si="18"/>
        <v>0</v>
      </c>
      <c r="AH31" s="25"/>
      <c r="AI31" s="26">
        <f t="shared" ref="AI31" si="251">AH31-AH$6</f>
        <v>0</v>
      </c>
      <c r="AJ31" s="30">
        <f t="shared" si="20"/>
        <v>0</v>
      </c>
      <c r="AK31" s="25"/>
      <c r="AL31" s="26">
        <f t="shared" ref="AL31" si="252">AK31-AK$6</f>
        <v>0</v>
      </c>
      <c r="AM31" s="30">
        <f t="shared" si="22"/>
        <v>0</v>
      </c>
    </row>
    <row r="32" spans="1:39" s="27" customFormat="1" x14ac:dyDescent="0.25">
      <c r="A32" s="24">
        <v>26</v>
      </c>
      <c r="B32" s="19" t="s">
        <v>47</v>
      </c>
      <c r="C32" s="19">
        <v>50</v>
      </c>
      <c r="D32" s="25">
        <v>36</v>
      </c>
      <c r="E32" s="26">
        <f t="shared" si="0"/>
        <v>11</v>
      </c>
      <c r="F32" s="30">
        <f t="shared" si="1"/>
        <v>36</v>
      </c>
      <c r="G32" s="25">
        <v>42</v>
      </c>
      <c r="H32" s="26">
        <f t="shared" si="0"/>
        <v>4</v>
      </c>
      <c r="I32" s="30">
        <f t="shared" si="2"/>
        <v>27.631578947368425</v>
      </c>
      <c r="J32" s="25">
        <v>38</v>
      </c>
      <c r="K32" s="26">
        <f t="shared" ref="K32" si="253">J32-J$6</f>
        <v>10</v>
      </c>
      <c r="L32" s="30">
        <f t="shared" si="4"/>
        <v>33.928571428571431</v>
      </c>
      <c r="M32" s="25">
        <v>42</v>
      </c>
      <c r="N32" s="26">
        <f t="shared" ref="N32" si="254">M32-M$6</f>
        <v>10</v>
      </c>
      <c r="O32" s="30">
        <f t="shared" si="6"/>
        <v>32.8125</v>
      </c>
      <c r="P32" s="25">
        <v>38</v>
      </c>
      <c r="Q32" s="26">
        <f t="shared" ref="Q32" si="255">P32-P$6</f>
        <v>10</v>
      </c>
      <c r="R32" s="30">
        <f t="shared" si="8"/>
        <v>33.928571428571431</v>
      </c>
      <c r="S32" s="25">
        <v>44</v>
      </c>
      <c r="T32" s="26">
        <f t="shared" ref="T32" si="256">S32-S$6</f>
        <v>12</v>
      </c>
      <c r="U32" s="30">
        <f t="shared" si="10"/>
        <v>34.375</v>
      </c>
      <c r="V32" s="25"/>
      <c r="W32" s="26">
        <f t="shared" ref="W32" si="257">V32-V$6</f>
        <v>0</v>
      </c>
      <c r="X32" s="30">
        <f t="shared" si="12"/>
        <v>0</v>
      </c>
      <c r="Y32" s="25"/>
      <c r="Z32" s="26">
        <f t="shared" ref="Z32" si="258">Y32-Y$6</f>
        <v>0</v>
      </c>
      <c r="AA32" s="30">
        <f t="shared" si="14"/>
        <v>0</v>
      </c>
      <c r="AB32" s="25"/>
      <c r="AC32" s="26">
        <f t="shared" ref="AC32" si="259">AB32-AB$6</f>
        <v>0</v>
      </c>
      <c r="AD32" s="30">
        <f t="shared" si="16"/>
        <v>0</v>
      </c>
      <c r="AE32" s="25"/>
      <c r="AF32" s="26">
        <f t="shared" ref="AF32" si="260">AE32-AE$6</f>
        <v>0</v>
      </c>
      <c r="AG32" s="30">
        <f t="shared" si="18"/>
        <v>0</v>
      </c>
      <c r="AH32" s="25"/>
      <c r="AI32" s="26">
        <f t="shared" ref="AI32" si="261">AH32-AH$6</f>
        <v>0</v>
      </c>
      <c r="AJ32" s="30">
        <f t="shared" si="20"/>
        <v>0</v>
      </c>
      <c r="AK32" s="25"/>
      <c r="AL32" s="26">
        <f t="shared" ref="AL32" si="262">AK32-AK$6</f>
        <v>0</v>
      </c>
      <c r="AM32" s="30">
        <f t="shared" si="22"/>
        <v>0</v>
      </c>
    </row>
    <row r="33" spans="1:39" s="27" customFormat="1" x14ac:dyDescent="0.25">
      <c r="A33" s="24">
        <v>27</v>
      </c>
      <c r="B33" s="19" t="s">
        <v>48</v>
      </c>
      <c r="C33" s="19">
        <v>50</v>
      </c>
      <c r="D33" s="25">
        <v>37</v>
      </c>
      <c r="E33" s="26">
        <f t="shared" ref="E33" si="263">D33-D$6</f>
        <v>12</v>
      </c>
      <c r="F33" s="30">
        <f t="shared" si="1"/>
        <v>37</v>
      </c>
      <c r="G33" s="25">
        <v>42</v>
      </c>
      <c r="H33" s="26">
        <f t="shared" ref="H33" si="264">G33-G$6</f>
        <v>4</v>
      </c>
      <c r="I33" s="30">
        <f t="shared" si="2"/>
        <v>27.631578947368425</v>
      </c>
      <c r="J33" s="25">
        <v>38</v>
      </c>
      <c r="K33" s="26">
        <f t="shared" ref="K33" si="265">J33-J$6</f>
        <v>10</v>
      </c>
      <c r="L33" s="30">
        <f t="shared" si="4"/>
        <v>33.928571428571431</v>
      </c>
      <c r="M33" s="25">
        <v>43</v>
      </c>
      <c r="N33" s="26">
        <f t="shared" ref="N33" si="266">M33-M$6</f>
        <v>11</v>
      </c>
      <c r="O33" s="30">
        <f t="shared" si="6"/>
        <v>33.59375</v>
      </c>
      <c r="P33" s="25">
        <v>40</v>
      </c>
      <c r="Q33" s="26">
        <f t="shared" ref="Q33" si="267">P33-P$6</f>
        <v>12</v>
      </c>
      <c r="R33" s="30">
        <f t="shared" si="8"/>
        <v>35.714285714285715</v>
      </c>
      <c r="S33" s="25">
        <v>42</v>
      </c>
      <c r="T33" s="26">
        <f t="shared" ref="T33" si="268">S33-S$6</f>
        <v>10</v>
      </c>
      <c r="U33" s="30">
        <f t="shared" si="10"/>
        <v>32.8125</v>
      </c>
      <c r="V33" s="25"/>
      <c r="W33" s="26">
        <f t="shared" ref="W33" si="269">V33-V$6</f>
        <v>0</v>
      </c>
      <c r="X33" s="30">
        <f t="shared" si="12"/>
        <v>0</v>
      </c>
      <c r="Y33" s="25"/>
      <c r="Z33" s="26">
        <f t="shared" ref="Z33" si="270">Y33-Y$6</f>
        <v>0</v>
      </c>
      <c r="AA33" s="30">
        <f t="shared" si="14"/>
        <v>0</v>
      </c>
      <c r="AB33" s="25"/>
      <c r="AC33" s="26">
        <f t="shared" ref="AC33" si="271">AB33-AB$6</f>
        <v>0</v>
      </c>
      <c r="AD33" s="30">
        <f t="shared" si="16"/>
        <v>0</v>
      </c>
      <c r="AE33" s="25"/>
      <c r="AF33" s="26">
        <f t="shared" ref="AF33" si="272">AE33-AE$6</f>
        <v>0</v>
      </c>
      <c r="AG33" s="30">
        <f t="shared" si="18"/>
        <v>0</v>
      </c>
      <c r="AH33" s="25"/>
      <c r="AI33" s="26">
        <f t="shared" ref="AI33" si="273">AH33-AH$6</f>
        <v>0</v>
      </c>
      <c r="AJ33" s="30">
        <f t="shared" si="20"/>
        <v>0</v>
      </c>
      <c r="AK33" s="25"/>
      <c r="AL33" s="26">
        <f t="shared" ref="AL33" si="274">AK33-AK$6</f>
        <v>0</v>
      </c>
      <c r="AM33" s="30">
        <f t="shared" si="22"/>
        <v>0</v>
      </c>
    </row>
    <row r="34" spans="1:39" s="29" customFormat="1" x14ac:dyDescent="0.25">
      <c r="A34" s="28"/>
    </row>
    <row r="35" spans="1:39" s="29" customFormat="1" x14ac:dyDescent="0.25">
      <c r="A35" s="34" t="s">
        <v>126</v>
      </c>
    </row>
    <row r="36" spans="1:39" s="29" customFormat="1" x14ac:dyDescent="0.25">
      <c r="A36" s="32" t="s">
        <v>122</v>
      </c>
      <c r="B36" s="29" t="s">
        <v>128</v>
      </c>
    </row>
    <row r="37" spans="1:39" s="29" customFormat="1" x14ac:dyDescent="0.25">
      <c r="A37" s="33" t="s">
        <v>123</v>
      </c>
      <c r="B37" s="29" t="s">
        <v>127</v>
      </c>
    </row>
    <row r="38" spans="1:39" s="29" customFormat="1" x14ac:dyDescent="0.25">
      <c r="A38" s="28"/>
    </row>
    <row r="39" spans="1:39" x14ac:dyDescent="0.25">
      <c r="A39" s="3"/>
    </row>
    <row r="40" spans="1:39" x14ac:dyDescent="0.25">
      <c r="A40" s="3"/>
    </row>
    <row r="41" spans="1:39" x14ac:dyDescent="0.25">
      <c r="A41" s="3"/>
    </row>
    <row r="42" spans="1:39" x14ac:dyDescent="0.25">
      <c r="A42" s="2"/>
    </row>
    <row r="43" spans="1:39" x14ac:dyDescent="0.25">
      <c r="A43" s="2"/>
    </row>
    <row r="44" spans="1:39" x14ac:dyDescent="0.25">
      <c r="A44" s="2"/>
    </row>
    <row r="45" spans="1:39" x14ac:dyDescent="0.25">
      <c r="A45" s="2"/>
    </row>
    <row r="46" spans="1:39" x14ac:dyDescent="0.25">
      <c r="A46" s="2"/>
    </row>
  </sheetData>
  <sheetProtection algorithmName="SHA-512" hashValue="U/vf0tWjbjzgkbYFO/tY2h5V7piFWKSW+TyqQlUqPyTQJxt7r/I4l/yl62h1m6YgTFhehdIA4OJCndzhdPCV6Q==" saltValue="oDWzpAgUP0RjTR/u/6wqZw==" spinCount="100000" sheet="1" objects="1" scenarios="1"/>
  <mergeCells count="2">
    <mergeCell ref="A1:O2"/>
    <mergeCell ref="A3:AM3"/>
  </mergeCells>
  <conditionalFormatting sqref="F7:F33">
    <cfRule type="expression" dxfId="35" priority="58">
      <formula>F7&gt;=$C7*1.15</formula>
    </cfRule>
    <cfRule type="expression" dxfId="34" priority="57">
      <formula>F7&gt;=$C7*1.3</formula>
    </cfRule>
    <cfRule type="expression" dxfId="33" priority="52">
      <formula>F7=0</formula>
    </cfRule>
  </conditionalFormatting>
  <conditionalFormatting sqref="I7:I33">
    <cfRule type="expression" dxfId="32" priority="36">
      <formula>I7&gt;=$C7*1.15</formula>
    </cfRule>
    <cfRule type="expression" dxfId="31" priority="35">
      <formula>I7&gt;=$C7*1.3</formula>
    </cfRule>
    <cfRule type="expression" dxfId="30" priority="34">
      <formula>I7=0</formula>
    </cfRule>
  </conditionalFormatting>
  <conditionalFormatting sqref="L7:L33">
    <cfRule type="expression" dxfId="29" priority="30">
      <formula>L7&gt;=$C7*1.15</formula>
    </cfRule>
    <cfRule type="expression" dxfId="28" priority="29">
      <formula>L7&gt;=$C7*1.3</formula>
    </cfRule>
    <cfRule type="expression" dxfId="27" priority="28">
      <formula>L7=0</formula>
    </cfRule>
  </conditionalFormatting>
  <conditionalFormatting sqref="O7:O33">
    <cfRule type="expression" dxfId="26" priority="27">
      <formula>O7&gt;=$C7*1.15</formula>
    </cfRule>
    <cfRule type="expression" dxfId="25" priority="26">
      <formula>O7&gt;=$C7*1.3</formula>
    </cfRule>
    <cfRule type="expression" dxfId="24" priority="25">
      <formula>O7=0</formula>
    </cfRule>
  </conditionalFormatting>
  <conditionalFormatting sqref="R7:R33">
    <cfRule type="expression" dxfId="23" priority="24">
      <formula>R7&gt;=$C7*1.15</formula>
    </cfRule>
    <cfRule type="expression" dxfId="22" priority="23">
      <formula>R7&gt;=$C7*1.3</formula>
    </cfRule>
    <cfRule type="expression" dxfId="21" priority="22">
      <formula>R7=0</formula>
    </cfRule>
  </conditionalFormatting>
  <conditionalFormatting sqref="U7:U33">
    <cfRule type="expression" dxfId="20" priority="19">
      <formula>U7=0</formula>
    </cfRule>
    <cfRule type="expression" dxfId="19" priority="20">
      <formula>U7&gt;=$C7*1.3</formula>
    </cfRule>
    <cfRule type="expression" dxfId="18" priority="21">
      <formula>U7&gt;=$C7*1.15</formula>
    </cfRule>
  </conditionalFormatting>
  <conditionalFormatting sqref="X7:X33">
    <cfRule type="expression" dxfId="17" priority="18">
      <formula>X7&gt;=$C7*1.15</formula>
    </cfRule>
    <cfRule type="expression" dxfId="16" priority="17">
      <formula>X7&gt;=$C7*1.3</formula>
    </cfRule>
    <cfRule type="expression" dxfId="15" priority="16">
      <formula>X7=0</formula>
    </cfRule>
  </conditionalFormatting>
  <conditionalFormatting sqref="AA7:AA33">
    <cfRule type="expression" dxfId="14" priority="15">
      <formula>AA7&gt;=$C7*1.15</formula>
    </cfRule>
    <cfRule type="expression" dxfId="13" priority="14">
      <formula>AA7&gt;=$C7*1.3</formula>
    </cfRule>
    <cfRule type="expression" dxfId="12" priority="13">
      <formula>AA7=0</formula>
    </cfRule>
  </conditionalFormatting>
  <conditionalFormatting sqref="AD7:AD33">
    <cfRule type="expression" dxfId="11" priority="12">
      <formula>AD7&gt;=$C7*1.15</formula>
    </cfRule>
    <cfRule type="expression" dxfId="10" priority="11">
      <formula>AD7&gt;=$C7*1.3</formula>
    </cfRule>
    <cfRule type="expression" dxfId="9" priority="10">
      <formula>AD7=0</formula>
    </cfRule>
  </conditionalFormatting>
  <conditionalFormatting sqref="AG7:AG33">
    <cfRule type="expression" dxfId="8" priority="9">
      <formula>AG7&gt;=$C7*1.15</formula>
    </cfRule>
    <cfRule type="expression" dxfId="7" priority="8">
      <formula>AG7&gt;=$C7*1.3</formula>
    </cfRule>
    <cfRule type="expression" dxfId="6" priority="7">
      <formula>AG7=0</formula>
    </cfRule>
  </conditionalFormatting>
  <conditionalFormatting sqref="AJ7:AJ33">
    <cfRule type="expression" dxfId="5" priority="4">
      <formula>AJ7=0</formula>
    </cfRule>
    <cfRule type="expression" dxfId="4" priority="6">
      <formula>AJ7&gt;=$C7*1.15</formula>
    </cfRule>
    <cfRule type="expression" dxfId="3" priority="5">
      <formula>AJ7&gt;=$C7*1.3</formula>
    </cfRule>
  </conditionalFormatting>
  <conditionalFormatting sqref="AM7:AM33">
    <cfRule type="expression" dxfId="2" priority="2">
      <formula>AM7&gt;=$C7*1.3</formula>
    </cfRule>
    <cfRule type="expression" dxfId="1" priority="3">
      <formula>AM7&gt;=$C7*1.15</formula>
    </cfRule>
    <cfRule type="expression" dxfId="0" priority="1">
      <formula>AM7=0</formula>
    </cfRule>
  </conditionalFormatting>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AC46"/>
  <sheetViews>
    <sheetView topLeftCell="A34" workbookViewId="0">
      <selection activeCell="D42" sqref="D42"/>
    </sheetView>
  </sheetViews>
  <sheetFormatPr defaultRowHeight="15" x14ac:dyDescent="0.25"/>
  <cols>
    <col min="1" max="1" width="8.85546875" bestFit="1" customWidth="1"/>
    <col min="2" max="2" width="24.5703125" bestFit="1" customWidth="1"/>
    <col min="3" max="3" width="11.28515625" bestFit="1" customWidth="1"/>
    <col min="4" max="4" width="18.5703125" bestFit="1" customWidth="1"/>
    <col min="5" max="5" width="23.85546875" bestFit="1" customWidth="1"/>
    <col min="6" max="6" width="22.7109375" bestFit="1" customWidth="1"/>
    <col min="7" max="7" width="19.85546875" bestFit="1" customWidth="1"/>
    <col min="8" max="8" width="26.140625" bestFit="1" customWidth="1"/>
    <col min="9" max="9" width="15.85546875" bestFit="1" customWidth="1"/>
    <col min="10" max="10" width="28.140625" bestFit="1" customWidth="1"/>
    <col min="11" max="11" width="24.5703125" bestFit="1" customWidth="1"/>
    <col min="12" max="12" width="28" bestFit="1" customWidth="1"/>
    <col min="13" max="13" width="19.140625" bestFit="1" customWidth="1"/>
    <col min="14" max="14" width="18" bestFit="1" customWidth="1"/>
    <col min="15" max="15" width="19.85546875" bestFit="1" customWidth="1"/>
    <col min="16" max="16" width="26.140625" bestFit="1" customWidth="1"/>
    <col min="17" max="17" width="15.85546875" bestFit="1" customWidth="1"/>
    <col min="18" max="18" width="28.140625" bestFit="1" customWidth="1"/>
    <col min="19" max="19" width="24.5703125" bestFit="1" customWidth="1"/>
    <col min="20" max="20" width="28" bestFit="1" customWidth="1"/>
    <col min="21" max="21" width="19.140625" bestFit="1" customWidth="1"/>
    <col min="22" max="22" width="18" bestFit="1" customWidth="1"/>
    <col min="23" max="23" width="26.140625" bestFit="1" customWidth="1"/>
    <col min="24" max="24" width="28" bestFit="1" customWidth="1"/>
    <col min="25" max="25" width="11.28515625" bestFit="1" customWidth="1"/>
    <col min="26" max="28" width="19" bestFit="1" customWidth="1"/>
    <col min="29" max="29" width="11.28515625" bestFit="1" customWidth="1"/>
  </cols>
  <sheetData>
    <row r="3" spans="1:3" x14ac:dyDescent="0.25">
      <c r="B3" s="4" t="s">
        <v>43</v>
      </c>
    </row>
    <row r="4" spans="1:3" x14ac:dyDescent="0.25">
      <c r="A4" s="4" t="s">
        <v>42</v>
      </c>
      <c r="B4" t="s">
        <v>15</v>
      </c>
      <c r="C4" t="s">
        <v>44</v>
      </c>
    </row>
    <row r="5" spans="1:3" x14ac:dyDescent="0.25">
      <c r="A5" s="5" t="s">
        <v>73</v>
      </c>
      <c r="B5" s="42">
        <v>9.94</v>
      </c>
      <c r="C5" s="42">
        <v>9.94</v>
      </c>
    </row>
    <row r="6" spans="1:3" x14ac:dyDescent="0.25">
      <c r="A6" s="5" t="s">
        <v>74</v>
      </c>
      <c r="B6" s="42">
        <v>9.98</v>
      </c>
      <c r="C6" s="42">
        <v>9.98</v>
      </c>
    </row>
    <row r="7" spans="1:3" x14ac:dyDescent="0.25">
      <c r="A7" s="5" t="s">
        <v>75</v>
      </c>
      <c r="B7" s="42">
        <v>10</v>
      </c>
      <c r="C7" s="42">
        <v>10</v>
      </c>
    </row>
    <row r="8" spans="1:3" x14ac:dyDescent="0.25">
      <c r="A8" s="5" t="s">
        <v>76</v>
      </c>
      <c r="B8" s="42">
        <v>9.5</v>
      </c>
      <c r="C8" s="42">
        <v>9.5</v>
      </c>
    </row>
    <row r="9" spans="1:3" x14ac:dyDescent="0.25">
      <c r="A9" s="5" t="s">
        <v>77</v>
      </c>
      <c r="B9" s="42">
        <v>9.5399999999999991</v>
      </c>
      <c r="C9" s="42">
        <v>9.5399999999999991</v>
      </c>
    </row>
    <row r="10" spans="1:3" x14ac:dyDescent="0.25">
      <c r="A10" s="5" t="s">
        <v>78</v>
      </c>
      <c r="B10" s="42">
        <v>9.98</v>
      </c>
      <c r="C10" s="42">
        <v>9.98</v>
      </c>
    </row>
    <row r="11" spans="1:3" x14ac:dyDescent="0.25">
      <c r="A11" s="5" t="s">
        <v>79</v>
      </c>
      <c r="B11" s="42"/>
      <c r="C11" s="42"/>
    </row>
    <row r="12" spans="1:3" x14ac:dyDescent="0.25">
      <c r="A12" s="5" t="s">
        <v>80</v>
      </c>
      <c r="B12" s="42"/>
      <c r="C12" s="42"/>
    </row>
    <row r="13" spans="1:3" x14ac:dyDescent="0.25">
      <c r="A13" s="5" t="s">
        <v>81</v>
      </c>
      <c r="B13" s="42"/>
      <c r="C13" s="42"/>
    </row>
    <row r="14" spans="1:3" x14ac:dyDescent="0.25">
      <c r="A14" s="5" t="s">
        <v>82</v>
      </c>
      <c r="B14" s="42"/>
      <c r="C14" s="42"/>
    </row>
    <row r="15" spans="1:3" x14ac:dyDescent="0.25">
      <c r="A15" s="5" t="s">
        <v>83</v>
      </c>
      <c r="B15" s="42"/>
      <c r="C15" s="42"/>
    </row>
    <row r="16" spans="1:3" x14ac:dyDescent="0.25">
      <c r="A16" s="5" t="s">
        <v>84</v>
      </c>
      <c r="B16" s="42"/>
      <c r="C16" s="42"/>
    </row>
    <row r="33" spans="1:29" x14ac:dyDescent="0.25">
      <c r="B33" s="4" t="s">
        <v>43</v>
      </c>
    </row>
    <row r="34" spans="1:29" x14ac:dyDescent="0.25">
      <c r="A34" s="4" t="s">
        <v>42</v>
      </c>
      <c r="B34" t="s">
        <v>35</v>
      </c>
      <c r="C34" t="s">
        <v>20</v>
      </c>
      <c r="D34" t="s">
        <v>27</v>
      </c>
      <c r="E34" t="s">
        <v>24</v>
      </c>
      <c r="F34" t="s">
        <v>23</v>
      </c>
      <c r="G34" t="s">
        <v>25</v>
      </c>
      <c r="H34" t="s">
        <v>29</v>
      </c>
      <c r="I34" t="s">
        <v>21</v>
      </c>
      <c r="J34" t="s">
        <v>31</v>
      </c>
      <c r="K34" t="s">
        <v>15</v>
      </c>
      <c r="L34" t="s">
        <v>17</v>
      </c>
      <c r="M34" t="s">
        <v>45</v>
      </c>
      <c r="N34" t="s">
        <v>47</v>
      </c>
      <c r="O34" t="s">
        <v>26</v>
      </c>
      <c r="P34" t="s">
        <v>30</v>
      </c>
      <c r="Q34" t="s">
        <v>22</v>
      </c>
      <c r="R34" t="s">
        <v>32</v>
      </c>
      <c r="S34" t="s">
        <v>16</v>
      </c>
      <c r="T34" t="s">
        <v>18</v>
      </c>
      <c r="U34" t="s">
        <v>46</v>
      </c>
      <c r="V34" t="s">
        <v>48</v>
      </c>
      <c r="W34" t="s">
        <v>38</v>
      </c>
      <c r="X34" t="s">
        <v>19</v>
      </c>
      <c r="Y34" t="s">
        <v>33</v>
      </c>
      <c r="Z34" t="s">
        <v>34</v>
      </c>
      <c r="AA34" t="s">
        <v>36</v>
      </c>
      <c r="AB34" t="s">
        <v>37</v>
      </c>
      <c r="AC34" t="s">
        <v>44</v>
      </c>
    </row>
    <row r="35" spans="1:29" x14ac:dyDescent="0.25">
      <c r="A35" s="5" t="s">
        <v>109</v>
      </c>
      <c r="B35" s="42"/>
      <c r="C35" s="42">
        <v>38.5</v>
      </c>
      <c r="D35" s="42">
        <v>37.520000000000003</v>
      </c>
      <c r="E35" s="42">
        <v>11.72</v>
      </c>
      <c r="F35" s="42">
        <v>10.6</v>
      </c>
      <c r="G35" s="42">
        <v>7.9</v>
      </c>
      <c r="H35" s="42">
        <v>10.62</v>
      </c>
      <c r="I35" s="42"/>
      <c r="J35" s="42"/>
      <c r="K35" s="42">
        <v>46.9</v>
      </c>
      <c r="L35" s="42">
        <v>31.3</v>
      </c>
      <c r="M35" s="42">
        <v>11.38</v>
      </c>
      <c r="N35" s="42">
        <v>19.82</v>
      </c>
      <c r="O35" s="42"/>
      <c r="P35" s="42">
        <v>10.32</v>
      </c>
      <c r="Q35" s="42">
        <v>12.66</v>
      </c>
      <c r="R35" s="42">
        <v>15.4</v>
      </c>
      <c r="S35" s="42">
        <v>50.26</v>
      </c>
      <c r="T35" s="42"/>
      <c r="U35" s="42"/>
      <c r="V35" s="42">
        <v>18.84</v>
      </c>
      <c r="W35" s="42">
        <v>10.6</v>
      </c>
      <c r="X35" s="42"/>
      <c r="Y35" s="42">
        <v>16.46</v>
      </c>
      <c r="Z35" s="42">
        <v>15.44</v>
      </c>
      <c r="AA35" s="42"/>
      <c r="AB35" s="42">
        <v>14.42</v>
      </c>
      <c r="AC35" s="42">
        <v>390.65999999999997</v>
      </c>
    </row>
    <row r="36" spans="1:29" x14ac:dyDescent="0.25">
      <c r="A36" s="5" t="s">
        <v>110</v>
      </c>
      <c r="B36" s="42"/>
      <c r="C36" s="42">
        <v>38.6</v>
      </c>
      <c r="D36" s="42">
        <v>37.6</v>
      </c>
      <c r="E36" s="42">
        <v>11.8</v>
      </c>
      <c r="F36" s="42">
        <v>12.7</v>
      </c>
      <c r="G36" s="42"/>
      <c r="H36" s="42">
        <v>10.66</v>
      </c>
      <c r="I36" s="42">
        <v>8.6999999999999993</v>
      </c>
      <c r="J36" s="42">
        <v>6.34</v>
      </c>
      <c r="K36" s="42">
        <v>47.3</v>
      </c>
      <c r="L36" s="42"/>
      <c r="M36" s="42"/>
      <c r="N36" s="42">
        <v>19.88</v>
      </c>
      <c r="O36" s="42">
        <v>7.6</v>
      </c>
      <c r="P36" s="42">
        <v>10.36</v>
      </c>
      <c r="Q36" s="42"/>
      <c r="R36" s="42"/>
      <c r="S36" s="42">
        <v>50.32</v>
      </c>
      <c r="T36" s="42">
        <v>31.42</v>
      </c>
      <c r="U36" s="42">
        <v>3.58</v>
      </c>
      <c r="V36" s="42">
        <v>18.920000000000002</v>
      </c>
      <c r="W36" s="42">
        <v>10.64</v>
      </c>
      <c r="X36" s="42"/>
      <c r="Y36" s="42">
        <v>16.5</v>
      </c>
      <c r="Z36" s="42">
        <v>15.6</v>
      </c>
      <c r="AA36" s="42">
        <v>17.34</v>
      </c>
      <c r="AB36" s="42"/>
      <c r="AC36" s="42">
        <v>375.85999999999996</v>
      </c>
    </row>
    <row r="37" spans="1:29" x14ac:dyDescent="0.25">
      <c r="A37" s="5" t="s">
        <v>111</v>
      </c>
      <c r="B37" s="42"/>
      <c r="C37" s="42">
        <v>38.68</v>
      </c>
      <c r="D37" s="42">
        <v>37.700000000000003</v>
      </c>
      <c r="E37" s="42">
        <v>11.85</v>
      </c>
      <c r="F37" s="42">
        <v>12.8</v>
      </c>
      <c r="G37" s="42">
        <v>8.07</v>
      </c>
      <c r="H37" s="42">
        <v>10.72</v>
      </c>
      <c r="I37" s="42"/>
      <c r="J37" s="42"/>
      <c r="K37" s="42">
        <v>47.34</v>
      </c>
      <c r="L37" s="42">
        <v>31.36</v>
      </c>
      <c r="M37" s="42">
        <v>11.5</v>
      </c>
      <c r="N37" s="42">
        <v>19.98</v>
      </c>
      <c r="O37" s="42"/>
      <c r="P37" s="42">
        <v>10.42</v>
      </c>
      <c r="Q37" s="42">
        <v>14.62</v>
      </c>
      <c r="R37" s="42">
        <v>15.46</v>
      </c>
      <c r="S37" s="42">
        <v>50.36</v>
      </c>
      <c r="T37" s="42"/>
      <c r="U37" s="42"/>
      <c r="V37" s="42">
        <v>18.98</v>
      </c>
      <c r="W37" s="42">
        <v>10.7</v>
      </c>
      <c r="X37" s="42"/>
      <c r="Y37" s="42">
        <v>16.54</v>
      </c>
      <c r="Z37" s="42">
        <v>15.64</v>
      </c>
      <c r="AA37" s="42"/>
      <c r="AB37" s="42">
        <v>14.48</v>
      </c>
      <c r="AC37" s="42">
        <v>397.2</v>
      </c>
    </row>
    <row r="38" spans="1:29" x14ac:dyDescent="0.25">
      <c r="A38" s="5" t="s">
        <v>112</v>
      </c>
      <c r="B38" s="42"/>
      <c r="C38" s="42">
        <v>26.2</v>
      </c>
      <c r="D38" s="42">
        <v>31</v>
      </c>
      <c r="E38" s="42">
        <v>6.3</v>
      </c>
      <c r="F38" s="42"/>
      <c r="G38" s="42">
        <v>8.4</v>
      </c>
      <c r="H38" s="42">
        <v>10.5</v>
      </c>
      <c r="I38" s="42">
        <v>15</v>
      </c>
      <c r="J38" s="42"/>
      <c r="K38" s="42">
        <v>46.25</v>
      </c>
      <c r="L38" s="42"/>
      <c r="M38" s="42"/>
      <c r="N38" s="42">
        <v>18</v>
      </c>
      <c r="O38" s="42"/>
      <c r="P38" s="42">
        <v>30.2</v>
      </c>
      <c r="Q38" s="42"/>
      <c r="R38" s="42">
        <v>16.5</v>
      </c>
      <c r="S38" s="42">
        <v>50.3</v>
      </c>
      <c r="T38" s="42">
        <v>31</v>
      </c>
      <c r="U38" s="42">
        <v>9.8000000000000007</v>
      </c>
      <c r="V38" s="42">
        <v>15</v>
      </c>
      <c r="W38" s="42">
        <v>10.199999999999999</v>
      </c>
      <c r="X38" s="42"/>
      <c r="Y38" s="42">
        <v>16</v>
      </c>
      <c r="Z38" s="42">
        <v>12.5</v>
      </c>
      <c r="AA38" s="42">
        <v>24</v>
      </c>
      <c r="AB38" s="42"/>
      <c r="AC38" s="42">
        <v>377.15</v>
      </c>
    </row>
    <row r="39" spans="1:29" x14ac:dyDescent="0.25">
      <c r="A39" s="5" t="s">
        <v>113</v>
      </c>
      <c r="B39" s="42"/>
      <c r="C39" s="42">
        <v>38.28</v>
      </c>
      <c r="D39" s="42">
        <v>30.28</v>
      </c>
      <c r="E39" s="42">
        <v>9.51</v>
      </c>
      <c r="F39" s="42">
        <v>9.14</v>
      </c>
      <c r="G39" s="42"/>
      <c r="H39" s="42">
        <v>10.76</v>
      </c>
      <c r="I39" s="42">
        <v>9.1199999999999992</v>
      </c>
      <c r="J39" s="42">
        <v>13.42</v>
      </c>
      <c r="K39" s="42">
        <v>44.75</v>
      </c>
      <c r="L39" s="42"/>
      <c r="M39" s="42">
        <v>10.72</v>
      </c>
      <c r="N39" s="42">
        <v>17.38</v>
      </c>
      <c r="O39" s="42">
        <v>7.51</v>
      </c>
      <c r="P39" s="42">
        <v>10.76</v>
      </c>
      <c r="Q39" s="42"/>
      <c r="R39" s="42">
        <v>12.63</v>
      </c>
      <c r="S39" s="42">
        <v>47.58</v>
      </c>
      <c r="T39" s="42">
        <v>30.28</v>
      </c>
      <c r="U39" s="42"/>
      <c r="V39" s="42">
        <v>17.87</v>
      </c>
      <c r="W39" s="42">
        <v>9.56</v>
      </c>
      <c r="X39" s="42"/>
      <c r="Y39" s="42">
        <v>14.57</v>
      </c>
      <c r="Z39" s="42">
        <v>13.93</v>
      </c>
      <c r="AA39" s="42">
        <v>25.8</v>
      </c>
      <c r="AB39" s="42">
        <v>24.43</v>
      </c>
      <c r="AC39" s="42">
        <v>408.28000000000003</v>
      </c>
    </row>
    <row r="40" spans="1:29" x14ac:dyDescent="0.25">
      <c r="A40" s="5" t="s">
        <v>114</v>
      </c>
      <c r="B40" s="42"/>
      <c r="C40" s="42">
        <v>38.6</v>
      </c>
      <c r="D40" s="42">
        <v>37.6</v>
      </c>
      <c r="E40" s="42">
        <v>11.8</v>
      </c>
      <c r="F40" s="42">
        <v>12.7</v>
      </c>
      <c r="G40" s="42"/>
      <c r="H40" s="42">
        <v>10.66</v>
      </c>
      <c r="I40" s="42">
        <v>8.6999999999999993</v>
      </c>
      <c r="J40" s="42">
        <v>6.34</v>
      </c>
      <c r="K40" s="42">
        <v>47.3</v>
      </c>
      <c r="L40" s="42"/>
      <c r="M40" s="42"/>
      <c r="N40" s="42">
        <v>19.88</v>
      </c>
      <c r="O40" s="42">
        <v>7.6</v>
      </c>
      <c r="P40" s="42">
        <v>10.36</v>
      </c>
      <c r="Q40" s="42"/>
      <c r="R40" s="42"/>
      <c r="S40" s="42">
        <v>50.32</v>
      </c>
      <c r="T40" s="42">
        <v>31.42</v>
      </c>
      <c r="U40" s="42">
        <v>3.58</v>
      </c>
      <c r="V40" s="42">
        <v>18.920000000000002</v>
      </c>
      <c r="W40" s="42">
        <v>10.64</v>
      </c>
      <c r="X40" s="42"/>
      <c r="Y40" s="42">
        <v>16.5</v>
      </c>
      <c r="Z40" s="42">
        <v>15.6</v>
      </c>
      <c r="AA40" s="42">
        <v>17.34</v>
      </c>
      <c r="AB40" s="42"/>
      <c r="AC40" s="42">
        <v>375.85999999999996</v>
      </c>
    </row>
    <row r="41" spans="1:29" x14ac:dyDescent="0.25">
      <c r="A41" s="5" t="s">
        <v>115</v>
      </c>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row>
    <row r="42" spans="1:29" x14ac:dyDescent="0.25">
      <c r="A42" s="5" t="s">
        <v>116</v>
      </c>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row>
    <row r="43" spans="1:29" x14ac:dyDescent="0.25">
      <c r="A43" s="5" t="s">
        <v>117</v>
      </c>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row>
    <row r="44" spans="1:29" x14ac:dyDescent="0.25">
      <c r="A44" s="5" t="s">
        <v>118</v>
      </c>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row>
    <row r="45" spans="1:29" x14ac:dyDescent="0.25">
      <c r="A45" s="5" t="s">
        <v>119</v>
      </c>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row>
    <row r="46" spans="1:29" x14ac:dyDescent="0.25">
      <c r="A46" s="5" t="s">
        <v>120</v>
      </c>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70"/>
  <sheetViews>
    <sheetView showGridLines="0" tabSelected="1" topLeftCell="A10" zoomScale="80" zoomScaleNormal="80" workbookViewId="0">
      <selection activeCell="N31" sqref="N31"/>
    </sheetView>
  </sheetViews>
  <sheetFormatPr defaultRowHeight="15" x14ac:dyDescent="0.25"/>
  <cols>
    <col min="2" max="2" width="36.28515625" bestFit="1" customWidth="1"/>
    <col min="3" max="3" width="12.5703125" customWidth="1"/>
    <col min="4" max="4" width="9.140625" customWidth="1"/>
  </cols>
  <sheetData>
    <row r="1" spans="1:26" x14ac:dyDescent="0.25">
      <c r="A1" s="37" t="s">
        <v>39</v>
      </c>
      <c r="B1" s="37"/>
      <c r="C1" s="37"/>
      <c r="D1" s="37"/>
      <c r="E1" s="37"/>
      <c r="F1" s="37"/>
      <c r="G1" s="37"/>
      <c r="H1" s="37"/>
      <c r="I1" s="37"/>
      <c r="J1" s="37"/>
      <c r="K1" s="37"/>
      <c r="L1" s="37"/>
      <c r="M1" s="37"/>
    </row>
    <row r="2" spans="1:26" x14ac:dyDescent="0.25">
      <c r="A2" s="37"/>
      <c r="B2" s="37"/>
      <c r="C2" s="37"/>
      <c r="D2" s="37"/>
      <c r="E2" s="37"/>
      <c r="F2" s="37"/>
      <c r="G2" s="37"/>
      <c r="H2" s="37"/>
      <c r="I2" s="37"/>
      <c r="J2" s="37"/>
      <c r="K2" s="37"/>
      <c r="L2" s="37"/>
      <c r="M2" s="37"/>
    </row>
    <row r="3" spans="1:26" x14ac:dyDescent="0.25">
      <c r="A3" s="38" t="s">
        <v>121</v>
      </c>
      <c r="B3" s="39"/>
      <c r="C3" s="39"/>
      <c r="D3" s="39"/>
      <c r="E3" s="39"/>
      <c r="F3" s="39"/>
      <c r="G3" s="39"/>
      <c r="H3" s="39"/>
      <c r="I3" s="39"/>
      <c r="J3" s="39"/>
      <c r="K3" s="39"/>
      <c r="L3" s="39"/>
      <c r="M3" s="39"/>
    </row>
    <row r="4" spans="1:26" x14ac:dyDescent="0.25">
      <c r="A4" s="39"/>
      <c r="B4" s="39"/>
      <c r="C4" s="39"/>
      <c r="D4" s="39"/>
      <c r="E4" s="39"/>
      <c r="F4" s="39"/>
      <c r="G4" s="39"/>
      <c r="H4" s="39"/>
      <c r="I4" s="39"/>
      <c r="J4" s="39"/>
      <c r="K4" s="39"/>
      <c r="L4" s="39"/>
      <c r="M4" s="39"/>
    </row>
    <row r="5" spans="1:26" ht="116.45" customHeight="1" x14ac:dyDescent="0.25">
      <c r="A5" s="39"/>
      <c r="B5" s="39"/>
      <c r="C5" s="39"/>
      <c r="D5" s="39"/>
      <c r="E5" s="39"/>
      <c r="F5" s="39"/>
      <c r="G5" s="39"/>
      <c r="H5" s="39"/>
      <c r="I5" s="39"/>
      <c r="J5" s="39"/>
      <c r="K5" s="39"/>
      <c r="L5" s="39"/>
      <c r="M5" s="39"/>
    </row>
    <row r="7" spans="1:26" s="1" customFormat="1" x14ac:dyDescent="0.25">
      <c r="A7" s="8" t="s">
        <v>28</v>
      </c>
      <c r="B7" s="9" t="s">
        <v>13</v>
      </c>
      <c r="C7" s="35" t="s">
        <v>1</v>
      </c>
      <c r="D7" s="36"/>
      <c r="E7" s="35" t="s">
        <v>2</v>
      </c>
      <c r="F7" s="36"/>
      <c r="G7" s="35" t="s">
        <v>3</v>
      </c>
      <c r="H7" s="36"/>
      <c r="I7" s="35" t="s">
        <v>4</v>
      </c>
      <c r="J7" s="36"/>
      <c r="K7" s="35" t="s">
        <v>5</v>
      </c>
      <c r="L7" s="36"/>
      <c r="M7" s="35" t="s">
        <v>6</v>
      </c>
      <c r="N7" s="36"/>
      <c r="O7" s="35" t="s">
        <v>7</v>
      </c>
      <c r="P7" s="36"/>
      <c r="Q7" s="35" t="s">
        <v>8</v>
      </c>
      <c r="R7" s="36"/>
      <c r="S7" s="35" t="s">
        <v>9</v>
      </c>
      <c r="T7" s="36"/>
      <c r="U7" s="35" t="s">
        <v>10</v>
      </c>
      <c r="V7" s="36"/>
      <c r="W7" s="35" t="s">
        <v>11</v>
      </c>
      <c r="X7" s="36"/>
      <c r="Y7" s="35" t="s">
        <v>12</v>
      </c>
      <c r="Z7" s="36"/>
    </row>
    <row r="8" spans="1:26" x14ac:dyDescent="0.25">
      <c r="A8" s="10"/>
      <c r="B8" s="11"/>
      <c r="C8" s="9" t="s">
        <v>40</v>
      </c>
      <c r="D8" s="9" t="s">
        <v>41</v>
      </c>
      <c r="E8" s="9" t="s">
        <v>40</v>
      </c>
      <c r="F8" s="9" t="s">
        <v>41</v>
      </c>
      <c r="G8" s="9" t="s">
        <v>40</v>
      </c>
      <c r="H8" s="9" t="s">
        <v>41</v>
      </c>
      <c r="I8" s="9" t="s">
        <v>40</v>
      </c>
      <c r="J8" s="9" t="s">
        <v>41</v>
      </c>
      <c r="K8" s="9" t="s">
        <v>40</v>
      </c>
      <c r="L8" s="9" t="s">
        <v>41</v>
      </c>
      <c r="M8" s="9" t="s">
        <v>40</v>
      </c>
      <c r="N8" s="9" t="s">
        <v>41</v>
      </c>
      <c r="O8" s="9" t="s">
        <v>40</v>
      </c>
      <c r="P8" s="9" t="s">
        <v>41</v>
      </c>
      <c r="Q8" s="9" t="s">
        <v>40</v>
      </c>
      <c r="R8" s="9" t="s">
        <v>41</v>
      </c>
      <c r="S8" s="9" t="s">
        <v>40</v>
      </c>
      <c r="T8" s="9" t="s">
        <v>41</v>
      </c>
      <c r="U8" s="9" t="s">
        <v>40</v>
      </c>
      <c r="V8" s="9" t="s">
        <v>41</v>
      </c>
      <c r="W8" s="9" t="s">
        <v>40</v>
      </c>
      <c r="X8" s="9" t="s">
        <v>41</v>
      </c>
      <c r="Y8" s="9" t="s">
        <v>40</v>
      </c>
      <c r="Z8" s="9" t="s">
        <v>41</v>
      </c>
    </row>
    <row r="9" spans="1:26" x14ac:dyDescent="0.25">
      <c r="A9" s="10"/>
      <c r="B9" s="11" t="s">
        <v>13</v>
      </c>
      <c r="C9" s="9" t="s">
        <v>49</v>
      </c>
      <c r="D9" s="9" t="s">
        <v>50</v>
      </c>
      <c r="E9" s="9" t="s">
        <v>51</v>
      </c>
      <c r="F9" s="9" t="s">
        <v>52</v>
      </c>
      <c r="G9" s="9" t="s">
        <v>53</v>
      </c>
      <c r="H9" s="9" t="s">
        <v>54</v>
      </c>
      <c r="I9" s="9" t="s">
        <v>55</v>
      </c>
      <c r="J9" s="9" t="s">
        <v>56</v>
      </c>
      <c r="K9" s="9" t="s">
        <v>57</v>
      </c>
      <c r="L9" s="9" t="s">
        <v>58</v>
      </c>
      <c r="M9" s="9" t="s">
        <v>59</v>
      </c>
      <c r="N9" s="9" t="s">
        <v>60</v>
      </c>
      <c r="O9" s="9" t="s">
        <v>61</v>
      </c>
      <c r="P9" s="9" t="s">
        <v>62</v>
      </c>
      <c r="Q9" s="9" t="s">
        <v>63</v>
      </c>
      <c r="R9" s="9" t="s">
        <v>64</v>
      </c>
      <c r="S9" s="9" t="s">
        <v>65</v>
      </c>
      <c r="T9" s="9" t="s">
        <v>66</v>
      </c>
      <c r="U9" s="9" t="s">
        <v>67</v>
      </c>
      <c r="V9" s="9" t="s">
        <v>68</v>
      </c>
      <c r="W9" s="9" t="s">
        <v>69</v>
      </c>
      <c r="X9" s="9" t="s">
        <v>70</v>
      </c>
      <c r="Y9" s="9" t="s">
        <v>71</v>
      </c>
      <c r="Z9" s="9" t="s">
        <v>72</v>
      </c>
    </row>
    <row r="10" spans="1:26" x14ac:dyDescent="0.25">
      <c r="A10" s="10">
        <v>1</v>
      </c>
      <c r="B10" s="11" t="s">
        <v>15</v>
      </c>
      <c r="C10" s="6">
        <v>9.94</v>
      </c>
      <c r="D10" s="6">
        <v>46.9</v>
      </c>
      <c r="E10" s="6">
        <v>9.98</v>
      </c>
      <c r="F10" s="6">
        <v>47.3</v>
      </c>
      <c r="G10" s="6">
        <v>10</v>
      </c>
      <c r="H10" s="6">
        <v>47.34</v>
      </c>
      <c r="I10" s="6">
        <v>9.5</v>
      </c>
      <c r="J10" s="6">
        <v>46.25</v>
      </c>
      <c r="K10" s="6">
        <v>9.5399999999999991</v>
      </c>
      <c r="L10" s="6">
        <v>44.75</v>
      </c>
      <c r="M10" s="6">
        <v>9.98</v>
      </c>
      <c r="N10" s="6">
        <v>47.3</v>
      </c>
      <c r="O10" s="6"/>
      <c r="P10" s="6"/>
      <c r="Q10" s="6"/>
      <c r="R10" s="6"/>
      <c r="S10" s="6"/>
      <c r="T10" s="6"/>
      <c r="U10" s="6"/>
      <c r="V10" s="6"/>
      <c r="W10" s="6"/>
      <c r="X10" s="6"/>
      <c r="Y10" s="6"/>
      <c r="Z10" s="6"/>
    </row>
    <row r="11" spans="1:26" x14ac:dyDescent="0.25">
      <c r="A11" s="10">
        <v>2</v>
      </c>
      <c r="B11" s="11" t="s">
        <v>16</v>
      </c>
      <c r="C11" s="6">
        <v>11.9</v>
      </c>
      <c r="D11" s="6">
        <v>50.26</v>
      </c>
      <c r="E11" s="6">
        <v>12.06</v>
      </c>
      <c r="F11" s="6">
        <v>50.32</v>
      </c>
      <c r="G11" s="6">
        <v>12.1</v>
      </c>
      <c r="H11" s="6">
        <v>50.36</v>
      </c>
      <c r="I11" s="6">
        <v>11.07</v>
      </c>
      <c r="J11" s="6">
        <v>50.3</v>
      </c>
      <c r="K11" s="6">
        <v>10.11</v>
      </c>
      <c r="L11" s="6">
        <v>47.58</v>
      </c>
      <c r="M11" s="6">
        <v>12.06</v>
      </c>
      <c r="N11" s="6">
        <v>50.32</v>
      </c>
      <c r="O11" s="6"/>
      <c r="P11" s="6"/>
      <c r="Q11" s="6"/>
      <c r="R11" s="6"/>
      <c r="S11" s="6"/>
      <c r="T11" s="6"/>
      <c r="U11" s="6"/>
      <c r="V11" s="6"/>
      <c r="W11" s="6"/>
      <c r="X11" s="6"/>
      <c r="Y11" s="6"/>
      <c r="Z11" s="6"/>
    </row>
    <row r="12" spans="1:26" x14ac:dyDescent="0.25">
      <c r="A12" s="10">
        <v>3</v>
      </c>
      <c r="B12" s="11" t="s">
        <v>17</v>
      </c>
      <c r="C12" s="6">
        <v>15.18</v>
      </c>
      <c r="D12" s="6">
        <v>31.3</v>
      </c>
      <c r="E12" s="6"/>
      <c r="F12" s="6"/>
      <c r="G12" s="6">
        <v>15.22</v>
      </c>
      <c r="H12" s="6">
        <v>31.36</v>
      </c>
      <c r="I12" s="6"/>
      <c r="J12" s="6"/>
      <c r="K12" s="6"/>
      <c r="L12" s="6"/>
      <c r="M12" s="6"/>
      <c r="N12" s="6"/>
      <c r="O12" s="6"/>
      <c r="P12" s="6"/>
      <c r="Q12" s="6"/>
      <c r="R12" s="6"/>
      <c r="S12" s="6"/>
      <c r="T12" s="6"/>
      <c r="U12" s="6"/>
      <c r="V12" s="6"/>
      <c r="W12" s="6"/>
      <c r="X12" s="6"/>
      <c r="Y12" s="6"/>
      <c r="Z12" s="6"/>
    </row>
    <row r="13" spans="1:26" x14ac:dyDescent="0.25">
      <c r="A13" s="10">
        <v>4</v>
      </c>
      <c r="B13" s="11" t="s">
        <v>18</v>
      </c>
      <c r="C13" s="6"/>
      <c r="D13" s="6"/>
      <c r="E13" s="6">
        <v>16.260000000000002</v>
      </c>
      <c r="F13" s="6">
        <v>31.42</v>
      </c>
      <c r="G13" s="6"/>
      <c r="H13" s="6"/>
      <c r="I13" s="6">
        <v>13.2</v>
      </c>
      <c r="J13" s="6">
        <v>31</v>
      </c>
      <c r="K13" s="6">
        <v>16.5</v>
      </c>
      <c r="L13" s="6">
        <v>30.28</v>
      </c>
      <c r="M13" s="6">
        <v>16.260000000000002</v>
      </c>
      <c r="N13" s="6">
        <v>31.42</v>
      </c>
      <c r="O13" s="6"/>
      <c r="P13" s="6"/>
      <c r="Q13" s="6"/>
      <c r="R13" s="6"/>
      <c r="S13" s="6"/>
      <c r="T13" s="6"/>
      <c r="U13" s="6"/>
      <c r="V13" s="6"/>
      <c r="W13" s="6"/>
      <c r="X13" s="6"/>
      <c r="Y13" s="6"/>
      <c r="Z13" s="6"/>
    </row>
    <row r="14" spans="1:26" x14ac:dyDescent="0.25">
      <c r="A14" s="10">
        <v>5</v>
      </c>
      <c r="B14" s="11" t="s">
        <v>19</v>
      </c>
      <c r="C14" s="6"/>
      <c r="D14" s="6"/>
      <c r="E14" s="6"/>
      <c r="F14" s="6"/>
      <c r="G14" s="6"/>
      <c r="H14" s="6"/>
      <c r="I14" s="6"/>
      <c r="J14" s="6"/>
      <c r="K14" s="6"/>
      <c r="L14" s="6"/>
      <c r="M14" s="6"/>
      <c r="N14" s="6"/>
      <c r="O14" s="6"/>
      <c r="P14" s="6"/>
      <c r="Q14" s="6"/>
      <c r="R14" s="6"/>
      <c r="S14" s="6"/>
      <c r="T14" s="6"/>
      <c r="U14" s="6"/>
      <c r="V14" s="6"/>
      <c r="W14" s="6"/>
      <c r="X14" s="6"/>
      <c r="Y14" s="6"/>
      <c r="Z14" s="6"/>
    </row>
    <row r="15" spans="1:26" x14ac:dyDescent="0.25">
      <c r="A15" s="10">
        <v>6</v>
      </c>
      <c r="B15" s="11" t="s">
        <v>20</v>
      </c>
      <c r="C15" s="6">
        <v>2.4</v>
      </c>
      <c r="D15" s="6">
        <v>38.5</v>
      </c>
      <c r="E15" s="6">
        <v>2.48</v>
      </c>
      <c r="F15" s="6">
        <v>38.6</v>
      </c>
      <c r="G15" s="6">
        <v>3.64</v>
      </c>
      <c r="H15" s="6">
        <v>38.68</v>
      </c>
      <c r="I15" s="6">
        <v>3.15</v>
      </c>
      <c r="J15" s="6">
        <v>26.2</v>
      </c>
      <c r="K15" s="6">
        <v>2.06</v>
      </c>
      <c r="L15" s="6">
        <v>38.28</v>
      </c>
      <c r="M15" s="6">
        <v>2.48</v>
      </c>
      <c r="N15" s="6">
        <v>38.6</v>
      </c>
      <c r="O15" s="6"/>
      <c r="P15" s="6"/>
      <c r="Q15" s="6"/>
      <c r="R15" s="6"/>
      <c r="S15" s="6"/>
      <c r="T15" s="6"/>
      <c r="U15" s="6"/>
      <c r="V15" s="6"/>
      <c r="W15" s="6"/>
      <c r="X15" s="6"/>
      <c r="Y15" s="6"/>
      <c r="Z15" s="6"/>
    </row>
    <row r="16" spans="1:26" x14ac:dyDescent="0.25">
      <c r="A16" s="10">
        <v>7</v>
      </c>
      <c r="B16" s="11" t="s">
        <v>21</v>
      </c>
      <c r="C16" s="6"/>
      <c r="D16" s="6"/>
      <c r="E16" s="6">
        <v>1.96</v>
      </c>
      <c r="F16" s="6">
        <v>8.6999999999999993</v>
      </c>
      <c r="G16" s="6"/>
      <c r="H16" s="6"/>
      <c r="I16" s="6">
        <v>2.8</v>
      </c>
      <c r="J16" s="6">
        <v>15</v>
      </c>
      <c r="K16" s="6">
        <v>1.72</v>
      </c>
      <c r="L16" s="6">
        <v>9.1199999999999992</v>
      </c>
      <c r="M16" s="6">
        <v>1.96</v>
      </c>
      <c r="N16" s="6">
        <v>8.6999999999999993</v>
      </c>
      <c r="O16" s="6"/>
      <c r="P16" s="6"/>
      <c r="Q16" s="6"/>
      <c r="R16" s="6"/>
      <c r="S16" s="6"/>
      <c r="T16" s="6"/>
      <c r="U16" s="6"/>
      <c r="V16" s="6"/>
      <c r="W16" s="6"/>
      <c r="X16" s="6"/>
      <c r="Y16" s="6"/>
      <c r="Z16" s="6"/>
    </row>
    <row r="17" spans="1:26" x14ac:dyDescent="0.25">
      <c r="A17" s="10">
        <v>8</v>
      </c>
      <c r="B17" s="11" t="s">
        <v>22</v>
      </c>
      <c r="C17" s="6">
        <v>2.8</v>
      </c>
      <c r="D17" s="6">
        <v>12.66</v>
      </c>
      <c r="E17" s="6"/>
      <c r="F17" s="6"/>
      <c r="G17" s="6">
        <v>3.58</v>
      </c>
      <c r="H17" s="6">
        <v>14.62</v>
      </c>
      <c r="I17" s="6"/>
      <c r="J17" s="6"/>
      <c r="K17" s="6"/>
      <c r="L17" s="6"/>
      <c r="M17" s="6"/>
      <c r="N17" s="6"/>
      <c r="O17" s="6"/>
      <c r="P17" s="6"/>
      <c r="Q17" s="6"/>
      <c r="R17" s="6"/>
      <c r="S17" s="6"/>
      <c r="T17" s="6"/>
      <c r="U17" s="6"/>
      <c r="V17" s="6"/>
      <c r="W17" s="6"/>
      <c r="X17" s="6"/>
      <c r="Y17" s="6"/>
      <c r="Z17" s="6"/>
    </row>
    <row r="18" spans="1:26" x14ac:dyDescent="0.25">
      <c r="A18" s="10">
        <v>9</v>
      </c>
      <c r="B18" s="11" t="s">
        <v>23</v>
      </c>
      <c r="C18" s="6">
        <v>1.26</v>
      </c>
      <c r="D18" s="6">
        <v>10.6</v>
      </c>
      <c r="E18" s="6">
        <v>1.3</v>
      </c>
      <c r="F18" s="6">
        <v>12.7</v>
      </c>
      <c r="G18" s="6">
        <v>2.86</v>
      </c>
      <c r="H18" s="6">
        <v>12.8</v>
      </c>
      <c r="I18" s="6"/>
      <c r="J18" s="6"/>
      <c r="K18" s="6">
        <v>1.1499999999999999</v>
      </c>
      <c r="L18" s="6">
        <v>9.14</v>
      </c>
      <c r="M18" s="6">
        <v>1.3</v>
      </c>
      <c r="N18" s="6">
        <v>12.7</v>
      </c>
      <c r="O18" s="6"/>
      <c r="P18" s="6"/>
      <c r="Q18" s="6"/>
      <c r="R18" s="6"/>
      <c r="S18" s="6"/>
      <c r="T18" s="6"/>
      <c r="U18" s="6"/>
      <c r="V18" s="6"/>
      <c r="W18" s="6"/>
      <c r="X18" s="6"/>
      <c r="Y18" s="6"/>
      <c r="Z18" s="6"/>
    </row>
    <row r="19" spans="1:26" x14ac:dyDescent="0.25">
      <c r="A19" s="10">
        <v>10</v>
      </c>
      <c r="B19" s="11" t="s">
        <v>24</v>
      </c>
      <c r="C19" s="6">
        <v>1.42</v>
      </c>
      <c r="D19" s="6">
        <v>11.72</v>
      </c>
      <c r="E19" s="6">
        <v>1.5</v>
      </c>
      <c r="F19" s="6">
        <v>11.8</v>
      </c>
      <c r="G19" s="6">
        <v>1.56</v>
      </c>
      <c r="H19" s="6">
        <v>11.85</v>
      </c>
      <c r="I19" s="6">
        <v>2.9</v>
      </c>
      <c r="J19" s="6">
        <v>6.3</v>
      </c>
      <c r="K19" s="6">
        <v>0.52</v>
      </c>
      <c r="L19" s="6">
        <v>9.51</v>
      </c>
      <c r="M19" s="6">
        <v>1.5</v>
      </c>
      <c r="N19" s="6">
        <v>11.8</v>
      </c>
      <c r="O19" s="6"/>
      <c r="P19" s="6"/>
      <c r="Q19" s="6"/>
      <c r="R19" s="6"/>
      <c r="S19" s="6"/>
      <c r="T19" s="6"/>
      <c r="U19" s="6"/>
      <c r="V19" s="6"/>
      <c r="W19" s="6"/>
      <c r="X19" s="6"/>
      <c r="Y19" s="6"/>
      <c r="Z19" s="6"/>
    </row>
    <row r="20" spans="1:26" x14ac:dyDescent="0.25">
      <c r="A20" s="10">
        <v>11</v>
      </c>
      <c r="B20" s="11" t="s">
        <v>25</v>
      </c>
      <c r="C20" s="6">
        <v>1.86</v>
      </c>
      <c r="D20" s="6">
        <v>7.9</v>
      </c>
      <c r="E20" s="6"/>
      <c r="F20" s="6"/>
      <c r="G20" s="6">
        <v>1.96</v>
      </c>
      <c r="H20" s="6">
        <v>8.07</v>
      </c>
      <c r="I20" s="6">
        <v>1.4</v>
      </c>
      <c r="J20" s="6">
        <v>8.4</v>
      </c>
      <c r="K20" s="6"/>
      <c r="L20" s="6"/>
      <c r="M20" s="6"/>
      <c r="N20" s="6"/>
      <c r="O20" s="6"/>
      <c r="P20" s="6"/>
      <c r="Q20" s="6"/>
      <c r="R20" s="6"/>
      <c r="S20" s="6"/>
      <c r="T20" s="6"/>
      <c r="U20" s="6"/>
      <c r="V20" s="6"/>
      <c r="W20" s="6"/>
      <c r="X20" s="6"/>
      <c r="Y20" s="6"/>
      <c r="Z20" s="6"/>
    </row>
    <row r="21" spans="1:26" x14ac:dyDescent="0.25">
      <c r="A21" s="10">
        <v>12</v>
      </c>
      <c r="B21" s="11" t="s">
        <v>26</v>
      </c>
      <c r="C21" s="6"/>
      <c r="D21" s="6"/>
      <c r="E21" s="6">
        <v>1.32</v>
      </c>
      <c r="F21" s="6">
        <v>7.6</v>
      </c>
      <c r="G21" s="6"/>
      <c r="H21" s="6"/>
      <c r="I21" s="6"/>
      <c r="J21" s="6"/>
      <c r="K21" s="6">
        <v>1.51</v>
      </c>
      <c r="L21" s="6">
        <v>7.51</v>
      </c>
      <c r="M21" s="6">
        <v>1.32</v>
      </c>
      <c r="N21" s="6">
        <v>7.6</v>
      </c>
      <c r="O21" s="6"/>
      <c r="P21" s="6"/>
      <c r="Q21" s="6"/>
      <c r="R21" s="6"/>
      <c r="S21" s="6"/>
      <c r="T21" s="6"/>
      <c r="U21" s="6"/>
      <c r="V21" s="6"/>
      <c r="W21" s="6"/>
      <c r="X21" s="6"/>
      <c r="Y21" s="6"/>
      <c r="Z21" s="6"/>
    </row>
    <row r="22" spans="1:26" x14ac:dyDescent="0.25">
      <c r="A22" s="10">
        <v>13</v>
      </c>
      <c r="B22" s="11" t="s">
        <v>27</v>
      </c>
      <c r="C22" s="6">
        <v>14.42</v>
      </c>
      <c r="D22" s="6">
        <v>37.520000000000003</v>
      </c>
      <c r="E22" s="6">
        <v>14.46</v>
      </c>
      <c r="F22" s="6">
        <v>37.6</v>
      </c>
      <c r="G22" s="6">
        <v>14.54</v>
      </c>
      <c r="H22" s="6">
        <v>37.700000000000003</v>
      </c>
      <c r="I22" s="6">
        <v>14.8</v>
      </c>
      <c r="J22" s="6">
        <v>31</v>
      </c>
      <c r="K22" s="6">
        <v>13.46</v>
      </c>
      <c r="L22" s="6">
        <v>30.28</v>
      </c>
      <c r="M22" s="6">
        <v>14.46</v>
      </c>
      <c r="N22" s="6">
        <v>37.6</v>
      </c>
      <c r="O22" s="6"/>
      <c r="P22" s="6"/>
      <c r="Q22" s="6"/>
      <c r="R22" s="6"/>
      <c r="S22" s="6"/>
      <c r="T22" s="6"/>
      <c r="U22" s="6"/>
      <c r="V22" s="6"/>
      <c r="W22" s="6"/>
      <c r="X22" s="6"/>
      <c r="Y22" s="6"/>
      <c r="Z22" s="6"/>
    </row>
    <row r="23" spans="1:26" x14ac:dyDescent="0.25">
      <c r="A23" s="10">
        <v>14</v>
      </c>
      <c r="B23" s="11" t="s">
        <v>29</v>
      </c>
      <c r="C23" s="6">
        <v>2.16</v>
      </c>
      <c r="D23" s="6">
        <v>10.62</v>
      </c>
      <c r="E23" s="6">
        <v>2.2000000000000002</v>
      </c>
      <c r="F23" s="6">
        <v>10.66</v>
      </c>
      <c r="G23" s="6">
        <v>2.2400000000000002</v>
      </c>
      <c r="H23" s="6">
        <v>10.72</v>
      </c>
      <c r="I23" s="6">
        <v>1.93</v>
      </c>
      <c r="J23" s="6">
        <v>10.5</v>
      </c>
      <c r="K23" s="6">
        <v>1.65</v>
      </c>
      <c r="L23" s="6">
        <v>10.76</v>
      </c>
      <c r="M23" s="6">
        <v>2.2000000000000002</v>
      </c>
      <c r="N23" s="6">
        <v>10.66</v>
      </c>
      <c r="O23" s="6"/>
      <c r="P23" s="6"/>
      <c r="Q23" s="6"/>
      <c r="R23" s="6"/>
      <c r="S23" s="6"/>
      <c r="T23" s="6"/>
      <c r="U23" s="6"/>
      <c r="V23" s="6"/>
      <c r="W23" s="6"/>
      <c r="X23" s="6"/>
      <c r="Y23" s="6"/>
      <c r="Z23" s="6"/>
    </row>
    <row r="24" spans="1:26" x14ac:dyDescent="0.25">
      <c r="A24" s="10">
        <v>15</v>
      </c>
      <c r="B24" s="11" t="s">
        <v>30</v>
      </c>
      <c r="C24" s="6">
        <v>2.06</v>
      </c>
      <c r="D24" s="6">
        <v>10.32</v>
      </c>
      <c r="E24" s="6">
        <v>2.12</v>
      </c>
      <c r="F24" s="6">
        <v>10.36</v>
      </c>
      <c r="G24" s="6">
        <v>2.1800000000000002</v>
      </c>
      <c r="H24" s="6">
        <v>10.42</v>
      </c>
      <c r="I24" s="6">
        <v>2.0499999999999998</v>
      </c>
      <c r="J24" s="6">
        <v>30.2</v>
      </c>
      <c r="K24" s="6">
        <v>1.56</v>
      </c>
      <c r="L24" s="6">
        <v>10.76</v>
      </c>
      <c r="M24" s="6">
        <v>2.12</v>
      </c>
      <c r="N24" s="6">
        <v>10.36</v>
      </c>
      <c r="O24" s="6"/>
      <c r="P24" s="6"/>
      <c r="Q24" s="6"/>
      <c r="R24" s="6"/>
      <c r="S24" s="6"/>
      <c r="T24" s="6"/>
      <c r="U24" s="6"/>
      <c r="V24" s="6"/>
      <c r="W24" s="6"/>
      <c r="X24" s="6"/>
      <c r="Y24" s="6"/>
      <c r="Z24" s="6"/>
    </row>
    <row r="25" spans="1:26" x14ac:dyDescent="0.25">
      <c r="A25" s="10">
        <v>16</v>
      </c>
      <c r="B25" s="11" t="s">
        <v>38</v>
      </c>
      <c r="C25" s="6">
        <v>1.8</v>
      </c>
      <c r="D25" s="6">
        <v>10.6</v>
      </c>
      <c r="E25" s="6">
        <v>1.88</v>
      </c>
      <c r="F25" s="6">
        <v>10.64</v>
      </c>
      <c r="G25" s="6">
        <v>1.98</v>
      </c>
      <c r="H25" s="6">
        <v>10.7</v>
      </c>
      <c r="I25" s="6">
        <v>1.68</v>
      </c>
      <c r="J25" s="6">
        <v>10.199999999999999</v>
      </c>
      <c r="K25" s="6">
        <v>1.31</v>
      </c>
      <c r="L25" s="6">
        <v>9.56</v>
      </c>
      <c r="M25" s="6">
        <v>1.88</v>
      </c>
      <c r="N25" s="6">
        <v>10.64</v>
      </c>
      <c r="O25" s="6"/>
      <c r="P25" s="6"/>
      <c r="Q25" s="6"/>
      <c r="R25" s="6"/>
      <c r="S25" s="6"/>
      <c r="T25" s="6"/>
      <c r="U25" s="6"/>
      <c r="V25" s="6"/>
      <c r="W25" s="6"/>
      <c r="X25" s="6"/>
      <c r="Y25" s="6"/>
      <c r="Z25" s="6"/>
    </row>
    <row r="26" spans="1:26" x14ac:dyDescent="0.25">
      <c r="A26" s="10">
        <v>17</v>
      </c>
      <c r="B26" s="11" t="s">
        <v>31</v>
      </c>
      <c r="C26" s="6"/>
      <c r="D26" s="6"/>
      <c r="E26" s="6">
        <v>3.64</v>
      </c>
      <c r="F26" s="6">
        <v>6.34</v>
      </c>
      <c r="G26" s="6"/>
      <c r="H26" s="6"/>
      <c r="I26" s="6"/>
      <c r="J26" s="6"/>
      <c r="K26" s="6">
        <v>3.41</v>
      </c>
      <c r="L26" s="6">
        <v>13.42</v>
      </c>
      <c r="M26" s="6">
        <v>3.64</v>
      </c>
      <c r="N26" s="6">
        <v>6.34</v>
      </c>
      <c r="O26" s="6"/>
      <c r="P26" s="6"/>
      <c r="Q26" s="6"/>
      <c r="R26" s="6"/>
      <c r="S26" s="6"/>
      <c r="T26" s="6"/>
      <c r="U26" s="6"/>
      <c r="V26" s="6"/>
      <c r="W26" s="6"/>
      <c r="X26" s="6"/>
      <c r="Y26" s="6"/>
      <c r="Z26" s="6"/>
    </row>
    <row r="27" spans="1:26" x14ac:dyDescent="0.25">
      <c r="A27" s="10">
        <v>18</v>
      </c>
      <c r="B27" s="11" t="s">
        <v>32</v>
      </c>
      <c r="C27" s="6">
        <v>3.52</v>
      </c>
      <c r="D27" s="6">
        <v>15.4</v>
      </c>
      <c r="E27" s="6"/>
      <c r="F27" s="6"/>
      <c r="G27" s="6">
        <v>3.54</v>
      </c>
      <c r="H27" s="6">
        <v>15.46</v>
      </c>
      <c r="I27" s="6">
        <v>2.33</v>
      </c>
      <c r="J27" s="6">
        <v>16.5</v>
      </c>
      <c r="K27" s="6">
        <v>3.64</v>
      </c>
      <c r="L27" s="6">
        <v>12.63</v>
      </c>
      <c r="M27" s="6"/>
      <c r="N27" s="6"/>
      <c r="O27" s="6"/>
      <c r="P27" s="6"/>
      <c r="Q27" s="6"/>
      <c r="R27" s="6"/>
      <c r="S27" s="6"/>
      <c r="T27" s="6"/>
      <c r="U27" s="6"/>
      <c r="V27" s="6"/>
      <c r="W27" s="6"/>
      <c r="X27" s="6"/>
      <c r="Y27" s="6"/>
      <c r="Z27" s="6"/>
    </row>
    <row r="28" spans="1:26" x14ac:dyDescent="0.25">
      <c r="A28" s="10">
        <v>19</v>
      </c>
      <c r="B28" s="11" t="s">
        <v>35</v>
      </c>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10">
        <v>20</v>
      </c>
      <c r="B29" s="11" t="s">
        <v>33</v>
      </c>
      <c r="C29" s="6">
        <v>2.6</v>
      </c>
      <c r="D29" s="6">
        <v>16.46</v>
      </c>
      <c r="E29" s="6">
        <v>2.64</v>
      </c>
      <c r="F29" s="6">
        <v>16.5</v>
      </c>
      <c r="G29" s="6">
        <v>2.68</v>
      </c>
      <c r="H29" s="6">
        <v>16.54</v>
      </c>
      <c r="I29" s="6">
        <v>2.8</v>
      </c>
      <c r="J29" s="6">
        <v>16</v>
      </c>
      <c r="K29" s="6">
        <v>2.36</v>
      </c>
      <c r="L29" s="6">
        <v>14.57</v>
      </c>
      <c r="M29" s="6">
        <v>2.64</v>
      </c>
      <c r="N29" s="6">
        <v>16.5</v>
      </c>
      <c r="O29" s="6"/>
      <c r="P29" s="6"/>
      <c r="Q29" s="6"/>
      <c r="R29" s="6"/>
      <c r="S29" s="6"/>
      <c r="T29" s="6"/>
      <c r="U29" s="6"/>
      <c r="V29" s="6"/>
      <c r="W29" s="6"/>
      <c r="X29" s="6"/>
      <c r="Y29" s="6"/>
      <c r="Z29" s="6"/>
    </row>
    <row r="30" spans="1:26" x14ac:dyDescent="0.25">
      <c r="A30" s="10">
        <v>21</v>
      </c>
      <c r="B30" s="11" t="s">
        <v>34</v>
      </c>
      <c r="C30" s="6">
        <v>2.86</v>
      </c>
      <c r="D30" s="6">
        <v>15.44</v>
      </c>
      <c r="E30" s="6">
        <v>2.9</v>
      </c>
      <c r="F30" s="6">
        <v>15.6</v>
      </c>
      <c r="G30" s="6">
        <v>2.98</v>
      </c>
      <c r="H30" s="6">
        <v>15.64</v>
      </c>
      <c r="I30" s="6">
        <v>2.1</v>
      </c>
      <c r="J30" s="6">
        <v>12.5</v>
      </c>
      <c r="K30" s="6">
        <v>2.58</v>
      </c>
      <c r="L30" s="6">
        <v>13.93</v>
      </c>
      <c r="M30" s="6">
        <v>2.9</v>
      </c>
      <c r="N30" s="6">
        <v>15.6</v>
      </c>
      <c r="O30" s="6"/>
      <c r="P30" s="6"/>
      <c r="Q30" s="6"/>
      <c r="R30" s="6"/>
      <c r="S30" s="6"/>
      <c r="T30" s="6"/>
      <c r="U30" s="6"/>
      <c r="V30" s="6"/>
      <c r="W30" s="6"/>
      <c r="X30" s="6"/>
      <c r="Y30" s="6"/>
      <c r="Z30" s="6"/>
    </row>
    <row r="31" spans="1:26" x14ac:dyDescent="0.25">
      <c r="A31" s="10">
        <v>22</v>
      </c>
      <c r="B31" s="11" t="s">
        <v>36</v>
      </c>
      <c r="C31" s="6"/>
      <c r="D31" s="6"/>
      <c r="E31" s="6">
        <v>7.26</v>
      </c>
      <c r="F31" s="6">
        <v>17.34</v>
      </c>
      <c r="G31" s="6"/>
      <c r="H31" s="6"/>
      <c r="I31" s="6">
        <v>7.1</v>
      </c>
      <c r="J31" s="6">
        <v>24</v>
      </c>
      <c r="K31" s="6">
        <v>6.72</v>
      </c>
      <c r="L31" s="6">
        <v>25.8</v>
      </c>
      <c r="M31" s="6">
        <v>7.26</v>
      </c>
      <c r="N31" s="6" t="s">
        <v>141</v>
      </c>
      <c r="O31" s="6"/>
      <c r="P31" s="6"/>
      <c r="Q31" s="6"/>
      <c r="R31" s="6"/>
      <c r="S31" s="6"/>
      <c r="T31" s="6"/>
      <c r="U31" s="6"/>
      <c r="V31" s="6"/>
      <c r="W31" s="6"/>
      <c r="X31" s="6"/>
      <c r="Y31" s="6"/>
      <c r="Z31" s="6"/>
    </row>
    <row r="32" spans="1:26" x14ac:dyDescent="0.25">
      <c r="A32" s="10">
        <v>23</v>
      </c>
      <c r="B32" s="11" t="s">
        <v>37</v>
      </c>
      <c r="C32" s="6">
        <v>6.56</v>
      </c>
      <c r="D32" s="6">
        <v>14.42</v>
      </c>
      <c r="E32" s="6"/>
      <c r="F32" s="6"/>
      <c r="G32" s="6">
        <v>6.6</v>
      </c>
      <c r="H32" s="6">
        <v>14.48</v>
      </c>
      <c r="I32" s="6"/>
      <c r="J32" s="6"/>
      <c r="K32" s="6">
        <v>6.86</v>
      </c>
      <c r="L32" s="6">
        <v>24.43</v>
      </c>
      <c r="M32" s="6"/>
      <c r="N32" s="6"/>
      <c r="O32" s="6"/>
      <c r="P32" s="6"/>
      <c r="Q32" s="6"/>
      <c r="R32" s="6"/>
      <c r="S32" s="6"/>
      <c r="T32" s="6"/>
      <c r="U32" s="6"/>
      <c r="V32" s="6"/>
      <c r="W32" s="6"/>
      <c r="X32" s="6"/>
      <c r="Y32" s="6"/>
      <c r="Z32" s="6"/>
    </row>
    <row r="33" spans="1:26" x14ac:dyDescent="0.25">
      <c r="A33" s="10">
        <v>24</v>
      </c>
      <c r="B33" s="11" t="s">
        <v>45</v>
      </c>
      <c r="C33" s="6">
        <v>2.86</v>
      </c>
      <c r="D33" s="6">
        <v>11.38</v>
      </c>
      <c r="E33" s="6"/>
      <c r="F33" s="6"/>
      <c r="G33" s="6">
        <v>2.96</v>
      </c>
      <c r="H33" s="6">
        <v>11.5</v>
      </c>
      <c r="I33" s="6"/>
      <c r="J33" s="6"/>
      <c r="K33" s="6">
        <v>1.29</v>
      </c>
      <c r="L33" s="6">
        <v>10.72</v>
      </c>
      <c r="M33" s="6"/>
      <c r="N33" s="6"/>
      <c r="O33" s="6"/>
      <c r="P33" s="6"/>
      <c r="Q33" s="6"/>
      <c r="R33" s="6"/>
      <c r="S33" s="6"/>
      <c r="T33" s="6"/>
      <c r="U33" s="6"/>
      <c r="V33" s="6"/>
      <c r="W33" s="6"/>
      <c r="X33" s="6"/>
      <c r="Y33" s="6"/>
      <c r="Z33" s="6"/>
    </row>
    <row r="34" spans="1:26" x14ac:dyDescent="0.25">
      <c r="A34" s="10">
        <v>25</v>
      </c>
      <c r="B34" s="11" t="s">
        <v>46</v>
      </c>
      <c r="C34" s="6"/>
      <c r="D34" s="6"/>
      <c r="E34" s="6">
        <v>2.52</v>
      </c>
      <c r="F34" s="6">
        <v>3.58</v>
      </c>
      <c r="G34" s="6"/>
      <c r="H34" s="6"/>
      <c r="I34" s="6">
        <v>2.2999999999999998</v>
      </c>
      <c r="J34" s="6">
        <v>9.8000000000000007</v>
      </c>
      <c r="K34" s="6"/>
      <c r="L34" s="6"/>
      <c r="M34" s="6">
        <v>2.52</v>
      </c>
      <c r="N34" s="6">
        <v>3.58</v>
      </c>
      <c r="O34" s="6"/>
      <c r="P34" s="6"/>
      <c r="Q34" s="6"/>
      <c r="R34" s="6"/>
      <c r="S34" s="6"/>
      <c r="T34" s="6"/>
      <c r="U34" s="6"/>
      <c r="V34" s="6"/>
      <c r="W34" s="6"/>
      <c r="X34" s="6"/>
      <c r="Y34" s="6"/>
      <c r="Z34" s="6"/>
    </row>
    <row r="35" spans="1:26" x14ac:dyDescent="0.25">
      <c r="A35" s="10">
        <v>26</v>
      </c>
      <c r="B35" s="11" t="s">
        <v>47</v>
      </c>
      <c r="C35" s="6">
        <v>1.7</v>
      </c>
      <c r="D35" s="6">
        <v>19.82</v>
      </c>
      <c r="E35" s="6">
        <v>2.65</v>
      </c>
      <c r="F35" s="6">
        <v>19.88</v>
      </c>
      <c r="G35" s="6">
        <v>2.7</v>
      </c>
      <c r="H35" s="6">
        <v>19.98</v>
      </c>
      <c r="I35" s="6">
        <v>1.45</v>
      </c>
      <c r="J35" s="6">
        <v>18</v>
      </c>
      <c r="K35" s="6">
        <v>2.37</v>
      </c>
      <c r="L35" s="6">
        <v>17.38</v>
      </c>
      <c r="M35" s="6">
        <v>2.65</v>
      </c>
      <c r="N35" s="6">
        <v>19.88</v>
      </c>
      <c r="O35" s="6"/>
      <c r="P35" s="6"/>
      <c r="Q35" s="6"/>
      <c r="R35" s="6"/>
      <c r="S35" s="6"/>
      <c r="T35" s="6"/>
      <c r="U35" s="6"/>
      <c r="V35" s="6"/>
      <c r="W35" s="6"/>
      <c r="X35" s="6"/>
      <c r="Y35" s="6"/>
      <c r="Z35" s="6"/>
    </row>
    <row r="36" spans="1:26" x14ac:dyDescent="0.25">
      <c r="A36" s="10">
        <v>27</v>
      </c>
      <c r="B36" s="11" t="s">
        <v>48</v>
      </c>
      <c r="C36" s="6">
        <v>2.72</v>
      </c>
      <c r="D36" s="6">
        <v>18.84</v>
      </c>
      <c r="E36" s="6">
        <v>2.76</v>
      </c>
      <c r="F36" s="6">
        <v>18.920000000000002</v>
      </c>
      <c r="G36" s="6">
        <v>2.83</v>
      </c>
      <c r="H36" s="6">
        <v>18.98</v>
      </c>
      <c r="I36" s="6">
        <v>2.8</v>
      </c>
      <c r="J36" s="6">
        <v>15</v>
      </c>
      <c r="K36" s="6">
        <v>2.35</v>
      </c>
      <c r="L36" s="6">
        <v>17.87</v>
      </c>
      <c r="M36" s="6">
        <v>2.76</v>
      </c>
      <c r="N36" s="6">
        <v>18.920000000000002</v>
      </c>
      <c r="O36" s="6"/>
      <c r="P36" s="6"/>
      <c r="Q36" s="6"/>
      <c r="R36" s="6"/>
      <c r="S36" s="6"/>
      <c r="T36" s="6"/>
      <c r="U36" s="6"/>
      <c r="V36" s="6"/>
      <c r="W36" s="6"/>
      <c r="X36" s="6"/>
      <c r="Y36" s="6"/>
      <c r="Z36" s="6"/>
    </row>
    <row r="37" spans="1:26" x14ac:dyDescent="0.25">
      <c r="A37" s="3"/>
    </row>
    <row r="38" spans="1:26" s="7" customFormat="1" x14ac:dyDescent="0.25">
      <c r="A38" s="12"/>
    </row>
    <row r="39" spans="1:26" s="7" customFormat="1" x14ac:dyDescent="0.25">
      <c r="A39" s="12"/>
    </row>
    <row r="40" spans="1:26" s="7" customFormat="1" x14ac:dyDescent="0.25">
      <c r="A40" s="12"/>
    </row>
    <row r="41" spans="1:26" s="7" customFormat="1" x14ac:dyDescent="0.25">
      <c r="A41" s="13"/>
    </row>
    <row r="42" spans="1:26" s="7" customFormat="1" x14ac:dyDescent="0.25">
      <c r="A42" s="13"/>
    </row>
    <row r="43" spans="1:26" s="7" customFormat="1" x14ac:dyDescent="0.25">
      <c r="A43" s="13"/>
    </row>
    <row r="44" spans="1:26" s="7" customFormat="1" x14ac:dyDescent="0.25">
      <c r="A44" s="13"/>
    </row>
    <row r="45" spans="1:26" s="7" customFormat="1" x14ac:dyDescent="0.25">
      <c r="A45" s="13"/>
    </row>
    <row r="46" spans="1:26" s="7" customFormat="1" x14ac:dyDescent="0.25"/>
    <row r="47" spans="1:26" s="7" customFormat="1" x14ac:dyDescent="0.25"/>
    <row r="48" spans="1:26" s="7" customFormat="1" x14ac:dyDescent="0.25"/>
    <row r="49" s="7" customFormat="1" x14ac:dyDescent="0.25"/>
    <row r="50" s="7" customFormat="1" x14ac:dyDescent="0.25"/>
    <row r="51" s="7" customFormat="1" x14ac:dyDescent="0.25"/>
    <row r="52" s="7" customFormat="1" x14ac:dyDescent="0.25"/>
    <row r="53" s="7" customFormat="1" x14ac:dyDescent="0.25"/>
    <row r="54" s="7" customFormat="1" x14ac:dyDescent="0.25"/>
    <row r="55" s="7" customFormat="1" x14ac:dyDescent="0.25"/>
    <row r="56" s="7" customFormat="1" x14ac:dyDescent="0.25"/>
    <row r="57" s="7" customFormat="1" x14ac:dyDescent="0.25"/>
    <row r="58" s="7" customFormat="1" x14ac:dyDescent="0.25"/>
    <row r="59" s="7" customFormat="1" x14ac:dyDescent="0.25"/>
    <row r="60" s="7" customFormat="1" x14ac:dyDescent="0.25"/>
    <row r="61" s="7" customFormat="1" x14ac:dyDescent="0.25"/>
    <row r="62" s="7" customFormat="1" x14ac:dyDescent="0.25"/>
    <row r="63" s="7" customFormat="1" x14ac:dyDescent="0.25"/>
    <row r="64" s="7" customFormat="1" x14ac:dyDescent="0.25"/>
    <row r="65" s="7" customFormat="1" x14ac:dyDescent="0.25"/>
    <row r="66" s="7" customFormat="1" x14ac:dyDescent="0.25"/>
    <row r="67" s="7" customFormat="1" x14ac:dyDescent="0.25"/>
    <row r="68" s="7" customFormat="1" x14ac:dyDescent="0.25"/>
    <row r="69" s="7" customFormat="1" x14ac:dyDescent="0.25"/>
    <row r="70" s="7" customFormat="1" x14ac:dyDescent="0.25"/>
  </sheetData>
  <sheetProtection algorithmName="SHA-512" hashValue="/f7/NQJ7MRvIOBI1iwVW7idkfIKq6B3HeyFA2b3RPTT6tKJjaLHAdzX1WKn3MRY8OPk6V31DydKktPhLJSRJXw==" saltValue="oUmWnDIrd8JPPG8w2XSWAA==" spinCount="100000" sheet="1" autoFilter="0" pivotTables="0"/>
  <mergeCells count="14">
    <mergeCell ref="Y7:Z7"/>
    <mergeCell ref="A1:M2"/>
    <mergeCell ref="A3:M5"/>
    <mergeCell ref="C7:D7"/>
    <mergeCell ref="E7:F7"/>
    <mergeCell ref="G7:H7"/>
    <mergeCell ref="I7:J7"/>
    <mergeCell ref="K7:L7"/>
    <mergeCell ref="M7:N7"/>
    <mergeCell ref="O7:P7"/>
    <mergeCell ref="Q7:R7"/>
    <mergeCell ref="S7:T7"/>
    <mergeCell ref="U7:V7"/>
    <mergeCell ref="W7:X7"/>
  </mergeCells>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Temperature</vt:lpstr>
      <vt:lpstr>Sheet1</vt:lpstr>
      <vt:lpstr>Vibration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2026-06-29T10:39:18Z</dcterms:modified>
</cp:coreProperties>
</file>